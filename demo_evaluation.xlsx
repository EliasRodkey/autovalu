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AAPL_Valu" sheetId="1" state="visible" r:id="rId1"/>
    <sheet name="Model_Assumptions" sheetId="2" state="visible" r:id="rId2"/>
    <sheet name="AAPL_Historical_DCF" sheetId="3" state="visible" r:id="rId3"/>
    <sheet name="AAPL_Recent_DCF" sheetId="4" state="visible" r:id="rId4"/>
    <sheet name="AAPL_Custom_DCF" sheetId="5" state="visible" r:id="rId5"/>
  </sheets>
  <definedNames/>
  <calcPr calcId="124519" fullCalcOnLoad="1"/>
</workbook>
</file>

<file path=xl/styles.xml><?xml version="1.0" encoding="utf-8"?>
<styleSheet xmlns="http://schemas.openxmlformats.org/spreadsheetml/2006/main">
  <numFmts count="3">
    <numFmt numFmtId="164" formatCode="0.00%;(0.00%)"/>
    <numFmt numFmtId="165" formatCode="_($* #,##0.00_);[Red]_($* (#,##0.00);_($* -_0_0_);_(@"/>
    <numFmt numFmtId="166" formatCode="&quot;$&quot;#,##0.00_-"/>
  </numFmts>
  <fonts count="4">
    <font>
      <name val="Calibri"/>
      <family val="2"/>
      <color theme="1"/>
      <sz val="11"/>
      <scheme val="minor"/>
    </font>
    <font>
      <sz val="18"/>
    </font>
    <font>
      <sz val="16"/>
    </font>
    <font>
      <sz val="12"/>
    </font>
  </fonts>
  <fills count="6">
    <fill>
      <patternFill/>
    </fill>
    <fill>
      <patternFill patternType="gray125"/>
    </fill>
    <fill>
      <patternFill patternType="solid">
        <fgColor rgb="00C4E1F2"/>
      </patternFill>
    </fill>
    <fill>
      <patternFill patternType="solid">
        <fgColor rgb="00CBCBCB"/>
      </patternFill>
    </fill>
    <fill>
      <patternFill patternType="solid">
        <fgColor rgb="004EA4D8"/>
      </patternFill>
    </fill>
    <fill>
      <patternFill patternType="solid">
        <fgColor rgb="00D9EAD5"/>
      </patternFill>
    </fill>
  </fills>
  <borders count="26">
    <border>
      <left/>
      <right/>
      <top/>
      <bottom/>
      <diagonal/>
    </border>
    <border>
      <left style="medium"/>
      <top style="medium"/>
    </border>
    <border>
      <right style="medium"/>
      <top style="medium"/>
    </border>
    <border>
      <left style="medium"/>
      <bottom style="medium"/>
    </border>
    <border>
      <right style="medium"/>
      <bottom style="medium"/>
    </border>
    <border>
      <left style="medium"/>
      <right style="medium"/>
      <top style="medium"/>
      <bottom style="medium"/>
    </border>
    <border>
      <left style="medium"/>
      <right style="medium"/>
      <top style="medium"/>
    </border>
    <border>
      <left style="medium"/>
      <right style="medium"/>
    </border>
    <border>
      <left style="medium"/>
      <right style="medium"/>
      <bottom style="medium"/>
    </border>
    <border>
      <left style="medium"/>
      <top style="medium"/>
      <bottom style="medium"/>
    </border>
    <border>
      <top style="medium"/>
      <bottom style="medium"/>
    </border>
    <border>
      <right style="medium"/>
      <top style="medium"/>
      <bottom style="medium"/>
    </border>
    <border>
      <top style="medium"/>
    </border>
    <border>
      <bottom style="medium"/>
    </border>
    <border>
      <left style="thin"/>
      <right style="thin"/>
      <top style="thin"/>
    </border>
    <border>
      <left style="thin"/>
      <right style="thin"/>
    </border>
    <border>
      <left style="thin"/>
      <right style="thin"/>
      <bottom style="thin"/>
    </border>
    <border>
      <left style="thin"/>
      <top style="thin"/>
    </border>
    <border>
      <top style="thin"/>
    </border>
    <border>
      <right style="thin"/>
      <top style="thin"/>
    </border>
    <border>
      <left style="thin"/>
    </border>
    <border>
      <right style="thin"/>
    </border>
    <border>
      <left style="thin"/>
      <bottom style="thin"/>
    </border>
    <border>
      <bottom style="thin"/>
    </border>
    <border>
      <right style="thin"/>
      <bottom style="thin"/>
    </border>
    <border>
      <left style="thin"/>
      <right style="thin"/>
      <top style="thin"/>
      <bottom style="thin"/>
    </border>
  </borders>
  <cellStyleXfs count="1">
    <xf numFmtId="0" fontId="0" fillId="0" borderId="0"/>
  </cellStyleXfs>
  <cellXfs count="70">
    <xf numFmtId="0" fontId="0" fillId="0" borderId="0" pivotButton="0" quotePrefix="0" xfId="0"/>
    <xf numFmtId="0" fontId="1" fillId="4" borderId="1" applyAlignment="1" pivotButton="0" quotePrefix="0" xfId="0">
      <alignment horizontal="center" vertical="center"/>
    </xf>
    <xf numFmtId="0" fontId="0" fillId="4" borderId="2" pivotButton="0" quotePrefix="0" xfId="0"/>
    <xf numFmtId="0" fontId="0" fillId="4" borderId="3" pivotButton="0" quotePrefix="0" xfId="0"/>
    <xf numFmtId="0" fontId="0" fillId="4" borderId="4" pivotButton="0" quotePrefix="0" xfId="0"/>
    <xf numFmtId="0" fontId="0" fillId="2" borderId="5" pivotButton="0" quotePrefix="0" xfId="0"/>
    <xf numFmtId="0" fontId="0" fillId="3" borderId="14" pivotButton="0" quotePrefix="0" xfId="0"/>
    <xf numFmtId="164" fontId="0" fillId="3" borderId="14" pivotButton="0" quotePrefix="0" xfId="0"/>
    <xf numFmtId="0" fontId="0" fillId="3" borderId="15" pivotButton="0" quotePrefix="0" xfId="0"/>
    <xf numFmtId="164" fontId="0" fillId="3" borderId="15" pivotButton="0" quotePrefix="0" xfId="0"/>
    <xf numFmtId="0" fontId="0" fillId="3" borderId="16" pivotButton="0" quotePrefix="0" xfId="0"/>
    <xf numFmtId="164" fontId="0" fillId="3" borderId="16" pivotButton="0" quotePrefix="0" xfId="0"/>
    <xf numFmtId="0" fontId="0" fillId="3" borderId="9" applyAlignment="1" pivotButton="0" quotePrefix="0" xfId="0">
      <alignment horizontal="center" vertical="center"/>
    </xf>
    <xf numFmtId="0" fontId="0" fillId="3" borderId="10" applyAlignment="1" pivotButton="0" quotePrefix="0" xfId="0">
      <alignment horizontal="center" vertical="center"/>
    </xf>
    <xf numFmtId="0" fontId="0" fillId="3" borderId="11" applyAlignment="1" pivotButton="0" quotePrefix="0" xfId="0">
      <alignment horizontal="center" vertical="center"/>
    </xf>
    <xf numFmtId="0" fontId="0" fillId="2" borderId="6" pivotButton="0" quotePrefix="0" xfId="0"/>
    <xf numFmtId="165" fontId="0" fillId="3" borderId="17" pivotButton="0" quotePrefix="0" xfId="0"/>
    <xf numFmtId="165" fontId="0" fillId="3" borderId="18" pivotButton="0" quotePrefix="0" xfId="0"/>
    <xf numFmtId="165" fontId="0" fillId="3" borderId="19" pivotButton="0" quotePrefix="0" xfId="0"/>
    <xf numFmtId="0" fontId="0" fillId="2" borderId="7" pivotButton="0" quotePrefix="0" xfId="0"/>
    <xf numFmtId="0" fontId="0" fillId="3" borderId="20" pivotButton="0" quotePrefix="0" xfId="0"/>
    <xf numFmtId="165" fontId="0" fillId="3" borderId="0" pivotButton="0" quotePrefix="0" xfId="0"/>
    <xf numFmtId="165" fontId="0" fillId="3" borderId="21" pivotButton="0" quotePrefix="0" xfId="0"/>
    <xf numFmtId="0" fontId="0" fillId="2" borderId="8" pivotButton="0" quotePrefix="0" xfId="0"/>
    <xf numFmtId="0" fontId="0" fillId="3" borderId="22" pivotButton="0" quotePrefix="0" xfId="0"/>
    <xf numFmtId="165" fontId="0" fillId="3" borderId="23" pivotButton="0" quotePrefix="0" xfId="0"/>
    <xf numFmtId="165" fontId="0" fillId="3" borderId="24" pivotButton="0" quotePrefix="0" xfId="0"/>
    <xf numFmtId="0" fontId="0" fillId="0" borderId="5" pivotButton="0" quotePrefix="0" xfId="0"/>
    <xf numFmtId="0" fontId="0" fillId="3" borderId="1" pivotButton="0" quotePrefix="0" xfId="0"/>
    <xf numFmtId="165" fontId="0" fillId="3" borderId="12" pivotButton="0" quotePrefix="0" xfId="0"/>
    <xf numFmtId="165" fontId="0" fillId="3" borderId="2" pivotButton="0" quotePrefix="0" xfId="0"/>
    <xf numFmtId="0" fontId="0" fillId="3" borderId="3" pivotButton="0" quotePrefix="0" xfId="0"/>
    <xf numFmtId="165" fontId="0" fillId="3" borderId="13" pivotButton="0" quotePrefix="0" xfId="0"/>
    <xf numFmtId="165" fontId="0" fillId="3" borderId="4" pivotButton="0" quotePrefix="0" xfId="0"/>
    <xf numFmtId="165" fontId="0" fillId="3" borderId="6" pivotButton="0" quotePrefix="0" xfId="0"/>
    <xf numFmtId="165" fontId="0" fillId="3" borderId="7" pivotButton="0" quotePrefix="0" xfId="0"/>
    <xf numFmtId="166" fontId="0" fillId="3" borderId="7" pivotButton="0" quotePrefix="0" xfId="0"/>
    <xf numFmtId="3" fontId="0" fillId="3" borderId="7" pivotButton="0" quotePrefix="0" xfId="0"/>
    <xf numFmtId="165" fontId="0" fillId="3" borderId="8" pivotButton="0" quotePrefix="0" xfId="0"/>
    <xf numFmtId="0" fontId="0" fillId="0" borderId="9" pivotButton="0" quotePrefix="0" xfId="0"/>
    <xf numFmtId="0" fontId="0" fillId="0" borderId="11" pivotButton="0" quotePrefix="0" xfId="0"/>
    <xf numFmtId="164" fontId="0" fillId="3" borderId="7" pivotButton="0" quotePrefix="0" xfId="0"/>
    <xf numFmtId="164" fontId="0" fillId="3" borderId="8" pivotButton="0" quotePrefix="0" xfId="0"/>
    <xf numFmtId="0" fontId="0" fillId="3" borderId="6" pivotButton="0" quotePrefix="0" xfId="0"/>
    <xf numFmtId="0" fontId="0" fillId="3" borderId="8" pivotButton="0" quotePrefix="0" xfId="0"/>
    <xf numFmtId="0" fontId="0" fillId="2" borderId="9" pivotButton="0" quotePrefix="0" xfId="0"/>
    <xf numFmtId="166" fontId="0" fillId="3" borderId="11" pivotButton="0" quotePrefix="0" xfId="0"/>
    <xf numFmtId="0" fontId="0" fillId="3" borderId="11" pivotButton="0" quotePrefix="0" xfId="0"/>
    <xf numFmtId="164" fontId="0" fillId="3" borderId="11" pivotButton="0" quotePrefix="0" xfId="0"/>
    <xf numFmtId="0" fontId="1" fillId="4" borderId="5" applyAlignment="1" pivotButton="0" quotePrefix="0" xfId="0">
      <alignment horizontal="center" vertical="center"/>
    </xf>
    <xf numFmtId="0" fontId="0" fillId="4" borderId="5" pivotButton="0" quotePrefix="0" xfId="0"/>
    <xf numFmtId="0" fontId="2" fillId="2" borderId="5" applyAlignment="1" pivotButton="0" quotePrefix="0" xfId="0">
      <alignment horizontal="center" vertical="center"/>
    </xf>
    <xf numFmtId="0" fontId="2" fillId="2" borderId="5" pivotButton="0" quotePrefix="0" xfId="0"/>
    <xf numFmtId="166" fontId="2" fillId="2" borderId="5" pivotButton="0" quotePrefix="0" xfId="0"/>
    <xf numFmtId="0" fontId="3" fillId="3" borderId="25" applyAlignment="1" pivotButton="0" quotePrefix="0" xfId="0">
      <alignment horizontal="left" vertical="top" wrapText="1"/>
    </xf>
    <xf numFmtId="0" fontId="0" fillId="3" borderId="25" pivotButton="0" quotePrefix="0" xfId="0"/>
    <xf numFmtId="164" fontId="0" fillId="3" borderId="25" pivotButton="0" quotePrefix="0" xfId="0"/>
    <xf numFmtId="166" fontId="0" fillId="3" borderId="25" pivotButton="0" quotePrefix="0" xfId="0"/>
    <xf numFmtId="0" fontId="2" fillId="3" borderId="5" applyAlignment="1" pivotButton="0" quotePrefix="0" xfId="0">
      <alignment horizontal="center" vertical="center"/>
    </xf>
    <xf numFmtId="0" fontId="0" fillId="3" borderId="5" pivotButton="0" quotePrefix="0" xfId="0"/>
    <xf numFmtId="0" fontId="0" fillId="5" borderId="5" pivotButton="0" quotePrefix="0" xfId="0"/>
    <xf numFmtId="0" fontId="0" fillId="0" borderId="25" applyAlignment="1" pivotButton="0" quotePrefix="0" xfId="0">
      <alignment horizontal="center" vertical="center"/>
    </xf>
    <xf numFmtId="164" fontId="0" fillId="0" borderId="25" applyAlignment="1" pivotButton="0" quotePrefix="0" xfId="0">
      <alignment horizontal="center" vertical="center"/>
    </xf>
    <xf numFmtId="0" fontId="0" fillId="0" borderId="6" pivotButton="0" quotePrefix="0" xfId="0"/>
    <xf numFmtId="164" fontId="0" fillId="0" borderId="14" pivotButton="0" quotePrefix="0" xfId="0"/>
    <xf numFmtId="0" fontId="0" fillId="0" borderId="7" pivotButton="0" quotePrefix="0" xfId="0"/>
    <xf numFmtId="164" fontId="0" fillId="0" borderId="15" pivotButton="0" quotePrefix="0" xfId="0"/>
    <xf numFmtId="0" fontId="0" fillId="0" borderId="8" pivotButton="0" quotePrefix="0" xfId="0"/>
    <xf numFmtId="164" fontId="0" fillId="0" borderId="16" pivotButton="0" quotePrefix="0" xfId="0"/>
    <xf numFmtId="0" fontId="0" fillId="3" borderId="25"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styles" Target="styles.xml" Id="rId6" /><Relationship Type="http://schemas.openxmlformats.org/officeDocument/2006/relationships/theme" Target="theme/theme1.xml" Id="rId7"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B3:K26"/>
  <sheetViews>
    <sheetView workbookViewId="0">
      <selection activeCell="A1" sqref="A1"/>
    </sheetView>
  </sheetViews>
  <sheetFormatPr baseColWidth="8" defaultRowHeight="15" outlineLevelCol="0"/>
  <cols>
    <col width="13" customWidth="1" min="1" max="1"/>
    <col width="13" customWidth="1" min="2" max="2"/>
    <col width="13" customWidth="1" min="3" max="3"/>
    <col width="13" customWidth="1" min="4" max="4"/>
    <col width="13" customWidth="1" min="5" max="5"/>
    <col width="13" customWidth="1" min="6" max="6"/>
    <col width="13" customWidth="1" min="7" max="7"/>
    <col width="13" customWidth="1" min="8" max="8"/>
    <col width="13" customWidth="1" min="9" max="9"/>
    <col width="13" customWidth="1" min="10" max="10"/>
    <col width="13" customWidth="1" min="11" max="11"/>
    <col width="13" customWidth="1" min="12" max="12"/>
    <col width="13" customWidth="1" min="13" max="13"/>
    <col width="13" customWidth="1" min="14" max="14"/>
    <col width="13" customWidth="1" min="15" max="15"/>
    <col width="13" customWidth="1" min="16" max="16"/>
    <col width="13" customWidth="1" min="17" max="17"/>
    <col width="13" customWidth="1" min="18" max="18"/>
    <col width="13" customWidth="1" min="19" max="19"/>
    <col width="13" customWidth="1" min="20" max="20"/>
    <col width="13" customWidth="1" min="21" max="21"/>
    <col width="13" customWidth="1" min="22" max="22"/>
    <col width="13" customWidth="1" min="23" max="23"/>
    <col width="13" customWidth="1" min="24" max="24"/>
  </cols>
  <sheetData>
    <row r="3">
      <c r="B3" s="49" t="inlineStr">
        <is>
          <t>Evaluation Summary</t>
        </is>
      </c>
      <c r="C3" s="50" t="n"/>
      <c r="D3" s="50" t="n"/>
      <c r="E3" s="50" t="n"/>
    </row>
    <row r="4">
      <c r="B4" s="50" t="n"/>
      <c r="C4" s="50" t="n"/>
      <c r="D4" s="50" t="n"/>
      <c r="E4" s="50" t="n"/>
    </row>
    <row r="6">
      <c r="B6" t="inlineStr">
        <is>
          <t>Company Name</t>
        </is>
      </c>
      <c r="C6" t="inlineStr"/>
      <c r="D6" t="inlineStr"/>
      <c r="E6" t="inlineStr"/>
      <c r="F6" t="inlineStr"/>
      <c r="G6" t="inlineStr"/>
      <c r="H6" t="inlineStr"/>
      <c r="I6" t="inlineStr">
        <is>
          <t>Mic</t>
        </is>
      </c>
      <c r="J6" t="inlineStr">
        <is>
          <t>Ticker</t>
        </is>
      </c>
      <c r="K6" t="inlineStr">
        <is>
          <t>Last Price</t>
        </is>
      </c>
    </row>
    <row r="7">
      <c r="B7" s="51" t="inlineStr">
        <is>
          <t>Apple Inc</t>
        </is>
      </c>
      <c r="C7" s="5" t="n"/>
      <c r="D7" s="5" t="n"/>
      <c r="E7" s="5" t="n"/>
      <c r="F7" s="5" t="n"/>
      <c r="G7" s="5" t="n"/>
      <c r="H7" s="5" t="n"/>
      <c r="I7" s="52" t="inlineStr">
        <is>
          <t>XNAS</t>
        </is>
      </c>
      <c r="J7" s="52" t="inlineStr">
        <is>
          <t>AAPL</t>
        </is>
      </c>
      <c r="K7" s="53" t="n">
        <v>250.12</v>
      </c>
    </row>
    <row r="8">
      <c r="B8" s="54" t="inlineStr">
        <is>
          <t>Apple Inc. designs, manufactures, and markets smartphones, personal computers, tablets, wearables, and accessories worldwide. The company offers iPhone, a line of smartphones; Mac, a line of personal computers; iPad, a line of multi-purpose tablets; and wearables, home, and accessories comprising AirPods, Apple Vision Pro, Apple TV, Apple Watch, Beats products, and HomePod, as well as Apple branded and third-party accessories. It also provides AppleCare support and cloud services; and operates various platforms, including the App Store that allow customers to discover and download applications and digital content, such as books, music, video, games, and podcasts, as well as advertising services include third-party licensing arrangements and its own advertising platforms. In addition, the company offers various subscription-based services, such as Apple Arcade, a game subscription service; Apple Fitness+, a personalized fitness service; Apple Music, which offers users a curated listening experience with on-demand radio stations; Apple News+, a subscription news and magazine service; Apple TV, which offers exclusive original content and live sports; Apple Card, a co-branded credit card; and Apple Pay, a cashless payment service, as well as licenses its intellectual property. The company serves consumers, and small and mid-sized businesses; and the education, enterprise, and government markets. It distributes third-party applications for its products through the App Store. The company also sells its products through its retail and online stores, and direct sales force; and third-party cellular network carriers and resellers. The company was formerly known as Apple Computer, Inc. and changed its name to Apple Inc. in January 2007. Apple Inc. was founded in 1976 and is headquartered in Cupertino, California.</t>
        </is>
      </c>
      <c r="C8" s="55" t="n"/>
      <c r="D8" s="55" t="n"/>
      <c r="E8" s="55" t="n"/>
      <c r="F8" s="55" t="n"/>
      <c r="G8" s="55" t="n"/>
      <c r="H8" s="55" t="n"/>
      <c r="I8" s="55" t="n"/>
      <c r="J8" s="55" t="n"/>
      <c r="K8" s="55" t="n"/>
    </row>
    <row r="9">
      <c r="B9" s="55" t="n"/>
      <c r="C9" s="55" t="n"/>
      <c r="D9" s="55" t="n"/>
      <c r="E9" s="55" t="n"/>
      <c r="F9" s="55" t="n"/>
      <c r="G9" s="55" t="n"/>
      <c r="H9" s="55" t="n"/>
      <c r="I9" s="55" t="n"/>
      <c r="J9" s="55" t="n"/>
      <c r="K9" s="55" t="n"/>
    </row>
    <row r="10">
      <c r="B10" s="55" t="n"/>
      <c r="C10" s="55" t="n"/>
      <c r="D10" s="55" t="n"/>
      <c r="E10" s="55" t="n"/>
      <c r="F10" s="55" t="n"/>
      <c r="G10" s="55" t="n"/>
      <c r="H10" s="55" t="n"/>
      <c r="I10" s="55" t="n"/>
      <c r="J10" s="55" t="n"/>
      <c r="K10" s="55" t="n"/>
    </row>
    <row r="11">
      <c r="B11" s="55" t="n"/>
      <c r="C11" s="55" t="n"/>
      <c r="D11" s="55" t="n"/>
      <c r="E11" s="55" t="n"/>
      <c r="F11" s="55" t="n"/>
      <c r="G11" s="55" t="n"/>
      <c r="H11" s="55" t="n"/>
      <c r="I11" s="55" t="n"/>
      <c r="J11" s="55" t="n"/>
      <c r="K11" s="55" t="n"/>
    </row>
    <row r="12">
      <c r="B12" s="55" t="n"/>
      <c r="C12" s="55" t="n"/>
      <c r="D12" s="55" t="n"/>
      <c r="E12" s="55" t="n"/>
      <c r="F12" s="55" t="n"/>
      <c r="G12" s="55" t="n"/>
      <c r="H12" s="55" t="n"/>
      <c r="I12" s="55" t="n"/>
      <c r="J12" s="55" t="n"/>
      <c r="K12" s="55" t="n"/>
    </row>
    <row r="13">
      <c r="B13" s="55" t="n"/>
      <c r="C13" s="55" t="n"/>
      <c r="D13" s="55" t="n"/>
      <c r="E13" s="55" t="n"/>
      <c r="F13" s="55" t="n"/>
      <c r="G13" s="55" t="n"/>
      <c r="H13" s="55" t="n"/>
      <c r="I13" s="55" t="n"/>
      <c r="J13" s="55" t="n"/>
      <c r="K13" s="55" t="n"/>
    </row>
    <row r="14">
      <c r="B14" s="55" t="n"/>
      <c r="C14" s="55" t="n"/>
      <c r="D14" s="55" t="n"/>
      <c r="E14" s="55" t="n"/>
      <c r="F14" s="55" t="n"/>
      <c r="G14" s="55" t="n"/>
      <c r="H14" s="55" t="n"/>
      <c r="I14" s="55" t="n"/>
      <c r="J14" s="55" t="n"/>
      <c r="K14" s="55" t="n"/>
    </row>
    <row r="15">
      <c r="B15" s="55" t="n"/>
      <c r="C15" s="55" t="n"/>
      <c r="D15" s="55" t="n"/>
      <c r="E15" s="55" t="n"/>
      <c r="F15" s="55" t="n"/>
      <c r="G15" s="55" t="n"/>
      <c r="H15" s="55" t="n"/>
      <c r="I15" s="55" t="n"/>
      <c r="J15" s="55" t="n"/>
      <c r="K15" s="55" t="n"/>
    </row>
    <row r="16">
      <c r="B16" s="55" t="n"/>
      <c r="C16" s="55" t="n"/>
      <c r="D16" s="55" t="n"/>
      <c r="E16" s="55" t="n"/>
      <c r="F16" s="55" t="n"/>
      <c r="G16" s="55" t="n"/>
      <c r="H16" s="55" t="n"/>
      <c r="I16" s="55" t="n"/>
      <c r="J16" s="55" t="n"/>
      <c r="K16" s="55" t="n"/>
    </row>
    <row r="17">
      <c r="B17" s="55" t="n"/>
      <c r="C17" s="55" t="n"/>
      <c r="D17" s="55" t="n"/>
      <c r="E17" s="55" t="n"/>
      <c r="F17" s="55" t="n"/>
      <c r="G17" s="55" t="n"/>
      <c r="H17" s="55" t="n"/>
      <c r="I17" s="55" t="n"/>
      <c r="J17" s="55" t="n"/>
      <c r="K17" s="55" t="n"/>
    </row>
    <row r="18">
      <c r="B18" s="55" t="n"/>
      <c r="C18" s="55" t="n"/>
      <c r="D18" s="55" t="n"/>
      <c r="E18" s="55" t="n"/>
      <c r="F18" s="55" t="n"/>
      <c r="G18" s="55" t="n"/>
      <c r="H18" s="55" t="n"/>
      <c r="I18" s="55" t="n"/>
      <c r="J18" s="55" t="n"/>
      <c r="K18" s="55" t="n"/>
    </row>
    <row r="19">
      <c r="B19" t="inlineStr"/>
      <c r="C19" t="inlineStr"/>
      <c r="D19" t="inlineStr"/>
      <c r="E19" t="inlineStr"/>
      <c r="F19" t="inlineStr"/>
      <c r="G19" t="inlineStr"/>
      <c r="H19" t="inlineStr"/>
      <c r="I19" t="inlineStr"/>
      <c r="J19" t="inlineStr"/>
      <c r="K19" t="inlineStr"/>
    </row>
    <row r="20">
      <c r="B20" t="inlineStr">
        <is>
          <t>Historical Evaluation</t>
        </is>
      </c>
      <c r="C20" t="inlineStr"/>
      <c r="D20" t="inlineStr"/>
      <c r="E20" t="inlineStr"/>
      <c r="F20" t="inlineStr">
        <is>
          <t>Recent Evaluation</t>
        </is>
      </c>
      <c r="G20" t="inlineStr"/>
      <c r="H20" t="inlineStr"/>
      <c r="I20" t="inlineStr"/>
      <c r="J20" t="inlineStr">
        <is>
          <t>Custom Evaluation</t>
        </is>
      </c>
      <c r="K20" t="inlineStr"/>
    </row>
    <row r="21">
      <c r="B21" s="5" t="inlineStr">
        <is>
          <t>WACC</t>
        </is>
      </c>
      <c r="C21" s="56">
        <f>AAPL_Custom_DCF!$G$43</f>
        <v/>
      </c>
      <c r="D21" t="inlineStr"/>
      <c r="E21" t="inlineStr"/>
      <c r="F21" s="5" t="inlineStr">
        <is>
          <t>WACC</t>
        </is>
      </c>
      <c r="G21" s="56">
        <f>AAPL_Recent_DCF!$G$43</f>
        <v/>
      </c>
      <c r="H21" t="inlineStr"/>
      <c r="I21" t="inlineStr"/>
      <c r="J21" s="5" t="inlineStr">
        <is>
          <t>WACC</t>
        </is>
      </c>
      <c r="K21" s="56">
        <f>AAPL_Historical_DCF!$G$43</f>
        <v/>
      </c>
    </row>
    <row r="22">
      <c r="B22" s="5" t="inlineStr">
        <is>
          <t>Fair Price</t>
        </is>
      </c>
      <c r="C22" s="57">
        <f>AAPL_Custom_DCF!$C$40</f>
        <v/>
      </c>
      <c r="D22" t="inlineStr"/>
      <c r="E22" t="inlineStr"/>
      <c r="F22" s="5" t="inlineStr">
        <is>
          <t>Fair Price</t>
        </is>
      </c>
      <c r="G22" s="57">
        <f>AAPL_Recent_DCF!$C$40</f>
        <v/>
      </c>
      <c r="H22" t="inlineStr"/>
      <c r="I22" t="inlineStr"/>
      <c r="J22" s="5" t="inlineStr">
        <is>
          <t>Fair Price</t>
        </is>
      </c>
      <c r="K22" s="57">
        <f>AAPL_Historical_DCF!$C$40</f>
        <v/>
      </c>
    </row>
    <row r="23">
      <c r="B23" s="5" t="inlineStr">
        <is>
          <t>Under / Over</t>
        </is>
      </c>
      <c r="C23" s="55">
        <f>AAPL_Custom_DCF!$C$42</f>
        <v/>
      </c>
      <c r="D23" t="inlineStr"/>
      <c r="E23" t="inlineStr"/>
      <c r="F23" s="5" t="inlineStr">
        <is>
          <t>Under / Over</t>
        </is>
      </c>
      <c r="G23" s="55">
        <f>AAPL_Recent_DCF!$C$42</f>
        <v/>
      </c>
      <c r="H23" t="inlineStr"/>
      <c r="I23" t="inlineStr"/>
      <c r="J23" s="5" t="inlineStr">
        <is>
          <t>Under / Over</t>
        </is>
      </c>
      <c r="K23" s="55">
        <f>AAPL_Historical_DCF!$C$42</f>
        <v/>
      </c>
    </row>
    <row r="24">
      <c r="B24" t="inlineStr"/>
      <c r="C24" t="inlineStr"/>
      <c r="D24" t="inlineStr"/>
      <c r="E24" t="inlineStr"/>
      <c r="F24" t="inlineStr"/>
      <c r="G24" t="inlineStr"/>
      <c r="H24" t="inlineStr"/>
      <c r="I24" t="inlineStr"/>
      <c r="J24" t="inlineStr"/>
      <c r="K24" t="inlineStr"/>
    </row>
    <row r="25">
      <c r="B25" t="inlineStr">
        <is>
          <t>Summary</t>
        </is>
      </c>
      <c r="C25" t="inlineStr"/>
      <c r="D25" t="inlineStr"/>
      <c r="E25" t="inlineStr"/>
      <c r="F25" t="inlineStr"/>
      <c r="G25" t="inlineStr"/>
      <c r="H25" t="inlineStr"/>
      <c r="I25" t="inlineStr"/>
      <c r="J25" t="inlineStr"/>
      <c r="K25" t="inlineStr"/>
    </row>
    <row r="26">
      <c r="B26" s="51" t="inlineStr">
        <is>
          <t>AAPL Appears to Be:</t>
        </is>
      </c>
      <c r="C26" s="5" t="n"/>
      <c r="D26" s="5" t="n"/>
      <c r="E26" s="58">
        <f>IF(AVERAGE((C22-K7)/K7, (G22-K7)/K7, (K22-K7)/K7) &gt;1, "Highly Under Valued", IF(AND(AVERAGE((C22-K7)/K7, (G22-K7)/K7, (K22-K7)/K7) &gt;0.1, AVERAGE((C22-K7)/K7, (G22-K7)/K7, (K22-K7)/K7) &lt; 1), "Moderately Under Valued", IF(AND(AVERAGE((C22-K7)/K7, (G22-K7)/K7, (K22-K7)/K7) &lt;=0.1, AVERAGE((C22-K7)/K7, (G22-K7)/K7, (K22-K7)/K7) &gt;= -0.1), "Fairly Valued",   IF(AND(AVERAGE((C22-K7)/K7, (G22-K7)/K7, (K22-K7)/K7) &lt; -0.1, AVERAGE((C22-K7)/K7, (G22-K7)/K7, (K22-K7)/K7) &gt; -1), "Moderately Over Valued", IF(AVERAGE((C22-K7)/K7, (G22-K7)/K7, (K22-K7)/K7) &lt; 1, "Highly Over Valued", "")))))</f>
        <v/>
      </c>
      <c r="F26" s="59" t="n"/>
      <c r="G26" s="59" t="n"/>
      <c r="H26" s="59" t="n"/>
      <c r="I26" s="59" t="n"/>
      <c r="J26" s="59" t="n"/>
      <c r="K26" s="59" t="n"/>
    </row>
  </sheetData>
  <mergeCells count="5">
    <mergeCell ref="E26:K26"/>
    <mergeCell ref="B3:E4"/>
    <mergeCell ref="B26:D26"/>
    <mergeCell ref="B8:K18"/>
    <mergeCell ref="B7:H7"/>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B3:M48"/>
  <sheetViews>
    <sheetView workbookViewId="0">
      <selection activeCell="A1" sqref="A1"/>
    </sheetView>
  </sheetViews>
  <sheetFormatPr baseColWidth="8" defaultRowHeight="15" outlineLevelCol="0"/>
  <cols>
    <col width="29" customWidth="1" min="2" max="2"/>
    <col width="21" customWidth="1" min="3" max="3"/>
    <col width="22" customWidth="1" min="4" max="4"/>
    <col width="20" customWidth="1" min="5" max="5"/>
    <col width="30" customWidth="1" min="6" max="6"/>
    <col width="33" customWidth="1" min="7" max="7"/>
  </cols>
  <sheetData>
    <row r="3">
      <c r="B3" s="1" t="inlineStr">
        <is>
          <t>Evaluation Inputs</t>
        </is>
      </c>
      <c r="C3" s="2" t="n"/>
      <c r="D3" t="inlineStr"/>
      <c r="E3" t="inlineStr"/>
      <c r="F3" t="inlineStr"/>
      <c r="G3" t="inlineStr"/>
      <c r="H3" t="inlineStr"/>
      <c r="I3" t="inlineStr"/>
      <c r="J3" t="inlineStr"/>
      <c r="K3" t="inlineStr"/>
      <c r="L3" t="inlineStr"/>
      <c r="M3" t="inlineStr"/>
    </row>
    <row r="4">
      <c r="B4" s="3" t="n"/>
      <c r="C4" s="4" t="n"/>
      <c r="D4" t="inlineStr"/>
      <c r="E4" t="inlineStr"/>
      <c r="F4" t="inlineStr"/>
      <c r="G4" t="inlineStr"/>
      <c r="H4" t="inlineStr"/>
      <c r="I4" t="inlineStr"/>
      <c r="J4" t="inlineStr"/>
      <c r="K4" t="inlineStr"/>
      <c r="L4" t="inlineStr"/>
      <c r="M4" t="inlineStr"/>
    </row>
    <row r="5">
      <c r="B5" t="inlineStr"/>
      <c r="C5" t="inlineStr"/>
      <c r="D5" t="inlineStr"/>
      <c r="E5" t="inlineStr"/>
      <c r="F5" t="inlineStr"/>
      <c r="G5" t="inlineStr"/>
      <c r="H5" t="inlineStr"/>
      <c r="I5" t="inlineStr"/>
      <c r="J5" t="inlineStr"/>
      <c r="K5" t="inlineStr"/>
      <c r="L5" t="inlineStr"/>
      <c r="M5" t="inlineStr"/>
    </row>
    <row r="6">
      <c r="B6" t="inlineStr">
        <is>
          <t>Base Inputs</t>
        </is>
      </c>
      <c r="C6" t="inlineStr"/>
      <c r="D6" t="inlineStr"/>
      <c r="E6" t="inlineStr"/>
      <c r="F6" t="inlineStr"/>
      <c r="G6" t="inlineStr"/>
      <c r="H6" t="inlineStr"/>
      <c r="I6" t="inlineStr"/>
      <c r="J6" t="inlineStr"/>
      <c r="K6" t="inlineStr"/>
      <c r="L6" t="inlineStr"/>
      <c r="M6" t="inlineStr"/>
    </row>
    <row r="7">
      <c r="B7" s="60" t="inlineStr">
        <is>
          <t>Projected Years</t>
        </is>
      </c>
      <c r="C7" s="60" t="inlineStr">
        <is>
          <t>Rapid Growth Length</t>
        </is>
      </c>
      <c r="D7" s="60" t="inlineStr">
        <is>
          <t>Forecast Period Length</t>
        </is>
      </c>
      <c r="E7" s="60" t="inlineStr">
        <is>
          <t>Terminal Growth Rate</t>
        </is>
      </c>
      <c r="F7" s="60" t="inlineStr">
        <is>
          <t>Expected Market Rate of Return</t>
        </is>
      </c>
      <c r="G7" s="60" t="inlineStr">
        <is>
          <t>Expected Risk Free Rate of Return</t>
        </is>
      </c>
      <c r="H7" t="inlineStr"/>
      <c r="I7" t="inlineStr"/>
      <c r="J7" t="inlineStr"/>
      <c r="K7" t="inlineStr"/>
      <c r="L7" t="inlineStr"/>
      <c r="M7" t="inlineStr"/>
    </row>
    <row r="8">
      <c r="B8" s="61" t="n">
        <v>5</v>
      </c>
      <c r="C8" s="61">
        <f>B8-D8</f>
        <v/>
      </c>
      <c r="D8" s="61" t="n">
        <v>5</v>
      </c>
      <c r="E8" s="62" t="n">
        <v>0.02</v>
      </c>
      <c r="F8" s="62" t="n">
        <v>0.065</v>
      </c>
      <c r="G8" s="62" t="n">
        <v>0.04</v>
      </c>
      <c r="H8" t="inlineStr"/>
      <c r="I8" t="inlineStr"/>
      <c r="J8" t="inlineStr"/>
      <c r="K8" t="inlineStr"/>
      <c r="L8" t="inlineStr"/>
      <c r="M8" t="inlineStr"/>
    </row>
    <row r="9">
      <c r="B9" t="inlineStr"/>
      <c r="C9" t="inlineStr"/>
      <c r="D9" t="inlineStr"/>
      <c r="E9" t="inlineStr"/>
      <c r="F9" t="inlineStr"/>
      <c r="G9" t="inlineStr"/>
      <c r="H9" t="inlineStr"/>
      <c r="I9" t="inlineStr"/>
      <c r="J9" t="inlineStr"/>
      <c r="K9" t="inlineStr"/>
      <c r="L9" t="inlineStr"/>
      <c r="M9" t="inlineStr"/>
    </row>
    <row r="10">
      <c r="B10" t="inlineStr"/>
      <c r="C10" t="inlineStr"/>
      <c r="D10" t="inlineStr"/>
      <c r="E10" t="inlineStr"/>
      <c r="F10" t="inlineStr"/>
      <c r="G10" t="inlineStr"/>
      <c r="H10" t="inlineStr"/>
      <c r="I10" t="inlineStr"/>
      <c r="J10" t="inlineStr"/>
      <c r="K10" t="inlineStr"/>
      <c r="L10" t="inlineStr"/>
      <c r="M10" t="inlineStr"/>
    </row>
    <row r="11">
      <c r="B11" t="inlineStr">
        <is>
          <t>Custom</t>
        </is>
      </c>
      <c r="C11" t="inlineStr"/>
      <c r="D11" t="inlineStr"/>
      <c r="E11" t="inlineStr"/>
      <c r="F11" t="inlineStr"/>
      <c r="G11" t="inlineStr"/>
      <c r="H11" t="inlineStr"/>
      <c r="I11" t="inlineStr"/>
      <c r="J11" t="inlineStr"/>
      <c r="K11" t="inlineStr"/>
      <c r="L11" t="inlineStr"/>
      <c r="M11" t="inlineStr"/>
    </row>
    <row r="12">
      <c r="B12" s="5" t="inlineStr">
        <is>
          <t>Metric</t>
        </is>
      </c>
      <c r="C12" s="60" t="inlineStr">
        <is>
          <t>Rapid Growth Period</t>
        </is>
      </c>
      <c r="D12" s="60" t="inlineStr">
        <is>
          <t>Forecast Period</t>
        </is>
      </c>
      <c r="E12" s="60" t="inlineStr">
        <is>
          <t>Terminal Period</t>
        </is>
      </c>
      <c r="F12" t="inlineStr"/>
      <c r="G12" t="inlineStr"/>
      <c r="H12" t="inlineStr"/>
      <c r="I12" t="inlineStr"/>
      <c r="J12" t="inlineStr"/>
      <c r="K12" t="inlineStr"/>
      <c r="L12" t="inlineStr"/>
      <c r="M12" t="inlineStr"/>
    </row>
    <row r="13">
      <c r="B13" s="63" t="inlineStr">
        <is>
          <t>Sales Growth</t>
        </is>
      </c>
      <c r="C13" s="64" t="n">
        <v>0.0391863655766974</v>
      </c>
      <c r="D13" s="64">
        <f>C13</f>
        <v/>
      </c>
      <c r="E13" s="64">
        <f>E8</f>
        <v/>
      </c>
      <c r="F13" t="inlineStr"/>
      <c r="G13" t="inlineStr"/>
      <c r="H13" t="inlineStr"/>
      <c r="I13" t="inlineStr"/>
      <c r="J13" t="inlineStr"/>
      <c r="K13" t="inlineStr"/>
      <c r="L13" t="inlineStr"/>
      <c r="M13" t="inlineStr"/>
    </row>
    <row r="14">
      <c r="B14" s="65" t="inlineStr">
        <is>
          <t>Effective Tax Rate</t>
        </is>
      </c>
      <c r="C14" s="66" t="n">
        <v>0.1561000233558604</v>
      </c>
      <c r="D14" s="66">
        <f>C14</f>
        <v/>
      </c>
      <c r="E14" s="66">
        <f>C14</f>
        <v/>
      </c>
      <c r="F14" t="inlineStr"/>
      <c r="G14" t="inlineStr"/>
      <c r="H14" t="inlineStr"/>
      <c r="I14" t="inlineStr"/>
      <c r="J14" t="inlineStr"/>
      <c r="K14" t="inlineStr"/>
      <c r="L14" t="inlineStr"/>
      <c r="M14" t="inlineStr"/>
    </row>
    <row r="15">
      <c r="B15" s="65" t="inlineStr">
        <is>
          <t>EBITDA : Revenue (%)</t>
        </is>
      </c>
      <c r="C15" s="66" t="n">
        <v>0.3421635537866604</v>
      </c>
      <c r="D15" s="66">
        <f>C15</f>
        <v/>
      </c>
      <c r="E15" s="66">
        <f>C15</f>
        <v/>
      </c>
      <c r="F15" t="inlineStr"/>
      <c r="G15" t="inlineStr"/>
      <c r="H15" t="inlineStr"/>
      <c r="I15" t="inlineStr"/>
      <c r="J15" t="inlineStr"/>
      <c r="K15" t="inlineStr"/>
      <c r="L15" t="inlineStr"/>
      <c r="M15" t="inlineStr"/>
    </row>
    <row r="16">
      <c r="B16" s="65" t="inlineStr">
        <is>
          <t>Depreciaiton : Revenue (%)</t>
        </is>
      </c>
      <c r="C16" s="66" t="n">
        <v>0.02842963128495165</v>
      </c>
      <c r="D16" s="66">
        <f>C16</f>
        <v/>
      </c>
      <c r="E16" s="66">
        <f>C16</f>
        <v/>
      </c>
      <c r="F16" t="inlineStr"/>
      <c r="G16" t="inlineStr"/>
      <c r="H16" t="inlineStr"/>
      <c r="I16" t="inlineStr"/>
      <c r="J16" t="inlineStr"/>
      <c r="K16" t="inlineStr"/>
      <c r="L16" t="inlineStr"/>
      <c r="M16" t="inlineStr"/>
    </row>
    <row r="17">
      <c r="B17" s="65" t="inlineStr">
        <is>
          <t>Working Capital : Revenue (%)</t>
        </is>
      </c>
      <c r="C17" s="66" t="n">
        <v>-0.03621739178373689</v>
      </c>
      <c r="D17" s="66">
        <f>C17</f>
        <v/>
      </c>
      <c r="E17" s="66">
        <f>C17</f>
        <v/>
      </c>
      <c r="F17" t="inlineStr"/>
      <c r="G17" t="inlineStr"/>
      <c r="H17" t="inlineStr"/>
      <c r="I17" t="inlineStr"/>
      <c r="J17" t="inlineStr"/>
      <c r="K17" t="inlineStr"/>
      <c r="L17" t="inlineStr"/>
      <c r="M17" t="inlineStr"/>
    </row>
    <row r="18">
      <c r="B18" s="67" t="inlineStr">
        <is>
          <t>CAPEX : Revenue (%)</t>
        </is>
      </c>
      <c r="C18" s="68" t="n">
        <v>0.02903798562883417</v>
      </c>
      <c r="D18" s="68">
        <f>C18</f>
        <v/>
      </c>
      <c r="E18" s="68">
        <f>C18</f>
        <v/>
      </c>
      <c r="F18" t="inlineStr"/>
      <c r="G18" t="inlineStr"/>
      <c r="H18" t="inlineStr"/>
      <c r="I18" t="inlineStr"/>
      <c r="J18" t="inlineStr"/>
      <c r="K18" t="inlineStr"/>
      <c r="L18" t="inlineStr"/>
      <c r="M18" t="inlineStr"/>
    </row>
    <row r="19">
      <c r="B19" s="5" t="inlineStr">
        <is>
          <t>WACC</t>
        </is>
      </c>
      <c r="C19" s="56">
        <f>AAPL_Custom_DCF!$G$43</f>
        <v/>
      </c>
      <c r="D19" t="inlineStr"/>
      <c r="E19" t="inlineStr"/>
      <c r="F19" t="inlineStr"/>
      <c r="G19" t="inlineStr"/>
      <c r="H19" t="inlineStr"/>
      <c r="I19" t="inlineStr"/>
      <c r="J19" t="inlineStr"/>
      <c r="K19" t="inlineStr"/>
      <c r="L19" t="inlineStr"/>
      <c r="M19" t="inlineStr"/>
    </row>
    <row r="20">
      <c r="B20" s="5" t="inlineStr">
        <is>
          <t>Fair Price</t>
        </is>
      </c>
      <c r="C20" s="57">
        <f>AAPL_Custom_DCF!$C$40</f>
        <v/>
      </c>
      <c r="D20" t="inlineStr"/>
      <c r="E20" t="inlineStr"/>
      <c r="F20" t="inlineStr"/>
      <c r="G20" t="inlineStr"/>
      <c r="H20" t="inlineStr"/>
      <c r="I20" t="inlineStr"/>
      <c r="J20" t="inlineStr"/>
      <c r="K20" t="inlineStr"/>
      <c r="L20" t="inlineStr"/>
      <c r="M20" t="inlineStr"/>
    </row>
    <row r="21">
      <c r="B21" s="5" t="inlineStr">
        <is>
          <t>Under / Over</t>
        </is>
      </c>
      <c r="C21" s="69">
        <f>AAPL_Custom_DCF!$C$42</f>
        <v/>
      </c>
      <c r="D21" t="inlineStr"/>
      <c r="E21" t="inlineStr"/>
      <c r="F21" t="inlineStr"/>
      <c r="G21" t="inlineStr"/>
      <c r="H21" t="inlineStr"/>
      <c r="I21" t="inlineStr"/>
      <c r="J21" t="inlineStr"/>
      <c r="K21" t="inlineStr"/>
      <c r="L21" t="inlineStr"/>
      <c r="M21" t="inlineStr"/>
    </row>
    <row r="22">
      <c r="B22" t="inlineStr"/>
      <c r="C22" t="inlineStr"/>
      <c r="D22" t="inlineStr"/>
      <c r="E22" t="inlineStr"/>
      <c r="F22" t="inlineStr"/>
      <c r="G22" t="inlineStr"/>
      <c r="H22" t="inlineStr"/>
      <c r="I22" t="inlineStr"/>
      <c r="J22" t="inlineStr"/>
      <c r="K22" t="inlineStr"/>
      <c r="L22" t="inlineStr"/>
      <c r="M22" t="inlineStr"/>
    </row>
    <row r="23">
      <c r="B23" t="inlineStr"/>
      <c r="C23" t="inlineStr"/>
      <c r="D23" t="inlineStr"/>
      <c r="E23" t="inlineStr"/>
      <c r="F23" t="inlineStr"/>
      <c r="G23" t="inlineStr"/>
      <c r="H23" t="inlineStr"/>
      <c r="I23" t="inlineStr"/>
      <c r="J23" t="inlineStr"/>
      <c r="K23" t="inlineStr"/>
      <c r="L23" t="inlineStr"/>
      <c r="M23" t="inlineStr"/>
    </row>
    <row r="24">
      <c r="B24" t="inlineStr">
        <is>
          <t>Recent</t>
        </is>
      </c>
      <c r="C24" t="inlineStr"/>
      <c r="D24" t="inlineStr"/>
      <c r="E24" t="inlineStr"/>
      <c r="F24" t="inlineStr"/>
      <c r="G24" t="inlineStr"/>
      <c r="H24" t="inlineStr"/>
      <c r="I24" t="inlineStr"/>
      <c r="J24" t="inlineStr"/>
      <c r="K24" t="inlineStr"/>
      <c r="L24" t="inlineStr"/>
      <c r="M24" t="inlineStr"/>
    </row>
    <row r="25">
      <c r="B25" s="5" t="inlineStr">
        <is>
          <t>Metric</t>
        </is>
      </c>
      <c r="C25" s="60" t="inlineStr">
        <is>
          <t>Rapid Growth Period</t>
        </is>
      </c>
      <c r="D25" s="60" t="inlineStr">
        <is>
          <t>Forecast Period</t>
        </is>
      </c>
      <c r="E25" s="60" t="inlineStr">
        <is>
          <t>Terminal Period</t>
        </is>
      </c>
      <c r="F25" t="inlineStr"/>
      <c r="G25" t="inlineStr"/>
      <c r="H25" t="inlineStr"/>
      <c r="I25" t="inlineStr"/>
      <c r="J25" t="inlineStr"/>
      <c r="K25" t="inlineStr"/>
      <c r="L25" t="inlineStr"/>
      <c r="M25" t="inlineStr"/>
    </row>
    <row r="26">
      <c r="B26" s="63" t="inlineStr">
        <is>
          <t>Sales Growth</t>
        </is>
      </c>
      <c r="C26" s="64" t="n">
        <v>0.06425511782832749</v>
      </c>
      <c r="D26" s="64">
        <f>C26</f>
        <v/>
      </c>
      <c r="E26" s="64">
        <f>E8</f>
        <v/>
      </c>
      <c r="F26" t="inlineStr"/>
      <c r="G26" t="inlineStr"/>
      <c r="H26" t="inlineStr"/>
      <c r="I26" t="inlineStr"/>
      <c r="J26" t="inlineStr"/>
      <c r="K26" t="inlineStr"/>
      <c r="L26" t="inlineStr"/>
      <c r="M26" t="inlineStr"/>
    </row>
    <row r="27">
      <c r="B27" s="65" t="inlineStr">
        <is>
          <t>Effective Tax Rate</t>
        </is>
      </c>
      <c r="C27" s="66" t="n">
        <v>0.1561000233558604</v>
      </c>
      <c r="D27" s="66">
        <f>C27</f>
        <v/>
      </c>
      <c r="E27" s="66">
        <f>C27</f>
        <v/>
      </c>
      <c r="F27" t="inlineStr"/>
      <c r="G27" t="inlineStr"/>
      <c r="H27" t="inlineStr"/>
      <c r="I27" t="inlineStr"/>
      <c r="J27" t="inlineStr"/>
      <c r="K27" t="inlineStr"/>
      <c r="L27" t="inlineStr"/>
      <c r="M27" t="inlineStr"/>
    </row>
    <row r="28">
      <c r="B28" s="65" t="inlineStr">
        <is>
          <t>EBITDA : Revenue (%)</t>
        </is>
      </c>
      <c r="C28" s="66" t="n">
        <v>0.3478173110887373</v>
      </c>
      <c r="D28" s="66">
        <f>C28</f>
        <v/>
      </c>
      <c r="E28" s="66">
        <f>C28</f>
        <v/>
      </c>
      <c r="F28" t="inlineStr"/>
      <c r="G28" t="inlineStr"/>
      <c r="H28" t="inlineStr"/>
      <c r="I28" t="inlineStr"/>
      <c r="J28" t="inlineStr"/>
      <c r="K28" t="inlineStr"/>
      <c r="L28" t="inlineStr"/>
      <c r="M28" t="inlineStr"/>
    </row>
    <row r="29">
      <c r="B29" s="65" t="inlineStr">
        <is>
          <t>Depreciaiton : Revenue (%)</t>
        </is>
      </c>
      <c r="C29" s="66" t="n">
        <v>0.02810931346281847</v>
      </c>
      <c r="D29" s="66">
        <f>C29</f>
        <v/>
      </c>
      <c r="E29" s="66">
        <f>C29</f>
        <v/>
      </c>
      <c r="F29" t="inlineStr"/>
      <c r="G29" t="inlineStr"/>
      <c r="H29" t="inlineStr"/>
      <c r="I29" t="inlineStr"/>
      <c r="J29" t="inlineStr"/>
      <c r="K29" t="inlineStr"/>
      <c r="L29" t="inlineStr"/>
      <c r="M29" t="inlineStr"/>
    </row>
    <row r="30">
      <c r="B30" s="65" t="inlineStr">
        <is>
          <t>Working Capital : Revenue (%)</t>
        </is>
      </c>
      <c r="C30" s="66" t="n">
        <v>-0.06007290447687313</v>
      </c>
      <c r="D30" s="66">
        <f>C30</f>
        <v/>
      </c>
      <c r="E30" s="66">
        <f>C30</f>
        <v/>
      </c>
      <c r="F30" t="inlineStr"/>
      <c r="G30" t="inlineStr"/>
      <c r="H30" t="inlineStr"/>
      <c r="I30" t="inlineStr"/>
      <c r="J30" t="inlineStr"/>
      <c r="K30" t="inlineStr"/>
      <c r="L30" t="inlineStr"/>
      <c r="M30" t="inlineStr"/>
    </row>
    <row r="31">
      <c r="B31" s="67" t="inlineStr">
        <is>
          <t>CAPEX : Revenue (%)</t>
        </is>
      </c>
      <c r="C31" s="68" t="n">
        <v>0.03055307921693768</v>
      </c>
      <c r="D31" s="68">
        <f>C31</f>
        <v/>
      </c>
      <c r="E31" s="68">
        <f>C31</f>
        <v/>
      </c>
      <c r="F31" t="inlineStr"/>
      <c r="G31" t="inlineStr"/>
      <c r="H31" t="inlineStr"/>
      <c r="I31" t="inlineStr"/>
      <c r="J31" t="inlineStr"/>
      <c r="K31" t="inlineStr"/>
      <c r="L31" t="inlineStr"/>
      <c r="M31" t="inlineStr"/>
    </row>
    <row r="32">
      <c r="B32" s="5" t="inlineStr">
        <is>
          <t>WACC</t>
        </is>
      </c>
      <c r="C32" s="56">
        <f>AAPL_Recent_DCF!$G$43</f>
        <v/>
      </c>
      <c r="D32" t="inlineStr"/>
      <c r="E32" t="inlineStr"/>
      <c r="F32" t="inlineStr"/>
      <c r="G32" t="inlineStr"/>
      <c r="H32" t="inlineStr"/>
      <c r="I32" t="inlineStr"/>
      <c r="J32" t="inlineStr"/>
      <c r="K32" t="inlineStr"/>
      <c r="L32" t="inlineStr"/>
      <c r="M32" t="inlineStr"/>
    </row>
    <row r="33">
      <c r="B33" s="5" t="inlineStr">
        <is>
          <t>Fair Price</t>
        </is>
      </c>
      <c r="C33" s="57">
        <f>AAPL_Recent_DCF!$C$40</f>
        <v/>
      </c>
      <c r="D33" t="inlineStr"/>
      <c r="E33" t="inlineStr"/>
      <c r="F33" t="inlineStr"/>
      <c r="G33" t="inlineStr"/>
      <c r="H33" t="inlineStr"/>
      <c r="I33" t="inlineStr"/>
      <c r="J33" t="inlineStr"/>
      <c r="K33" t="inlineStr"/>
      <c r="L33" t="inlineStr"/>
      <c r="M33" t="inlineStr"/>
    </row>
    <row r="34">
      <c r="B34" s="5" t="inlineStr">
        <is>
          <t>Under / Over</t>
        </is>
      </c>
      <c r="C34" s="69">
        <f>AAPL_Recent_DCF!$C$42</f>
        <v/>
      </c>
      <c r="D34" t="inlineStr"/>
      <c r="E34" t="inlineStr"/>
      <c r="F34" t="inlineStr"/>
      <c r="G34" t="inlineStr"/>
      <c r="H34" t="inlineStr"/>
      <c r="I34" t="inlineStr"/>
      <c r="J34" t="inlineStr"/>
      <c r="K34" t="inlineStr"/>
      <c r="L34" t="inlineStr"/>
      <c r="M34" t="inlineStr"/>
    </row>
    <row r="35">
      <c r="B35" t="inlineStr"/>
      <c r="C35" t="inlineStr"/>
      <c r="D35" t="inlineStr"/>
      <c r="E35" t="inlineStr"/>
      <c r="F35" t="inlineStr"/>
      <c r="G35" t="inlineStr"/>
      <c r="H35" t="inlineStr"/>
      <c r="I35" t="inlineStr"/>
      <c r="J35" t="inlineStr"/>
      <c r="K35" t="inlineStr"/>
      <c r="L35" t="inlineStr"/>
      <c r="M35" t="inlineStr"/>
    </row>
    <row r="36">
      <c r="B36" t="inlineStr"/>
      <c r="C36" t="inlineStr"/>
      <c r="D36" t="inlineStr"/>
      <c r="E36" t="inlineStr"/>
      <c r="F36" t="inlineStr"/>
      <c r="G36" t="inlineStr"/>
      <c r="H36" t="inlineStr"/>
      <c r="I36" t="inlineStr"/>
      <c r="J36" t="inlineStr"/>
      <c r="K36" t="inlineStr"/>
      <c r="L36" t="inlineStr"/>
      <c r="M36" t="inlineStr"/>
    </row>
    <row r="37">
      <c r="B37" t="inlineStr">
        <is>
          <t>Historical</t>
        </is>
      </c>
      <c r="C37" t="inlineStr"/>
      <c r="D37" t="inlineStr"/>
      <c r="E37" t="inlineStr"/>
      <c r="F37" t="inlineStr"/>
      <c r="G37" t="inlineStr"/>
      <c r="H37" t="inlineStr"/>
      <c r="I37" t="inlineStr"/>
      <c r="J37" t="inlineStr"/>
      <c r="K37" t="inlineStr"/>
      <c r="L37" t="inlineStr"/>
      <c r="M37" t="inlineStr"/>
    </row>
    <row r="38">
      <c r="B38" s="5" t="inlineStr">
        <is>
          <t>Metric</t>
        </is>
      </c>
      <c r="C38" s="60" t="inlineStr">
        <is>
          <t>Rapid Growth Period</t>
        </is>
      </c>
      <c r="D38" s="60" t="inlineStr">
        <is>
          <t>Forecast Period</t>
        </is>
      </c>
      <c r="E38" s="60" t="inlineStr">
        <is>
          <t>Terminal Period</t>
        </is>
      </c>
      <c r="F38" t="inlineStr"/>
      <c r="G38" t="inlineStr"/>
      <c r="H38" t="inlineStr"/>
      <c r="I38" t="inlineStr"/>
      <c r="J38" t="inlineStr"/>
      <c r="K38" t="inlineStr"/>
      <c r="L38" t="inlineStr"/>
      <c r="M38" t="inlineStr"/>
    </row>
    <row r="39">
      <c r="B39" s="63" t="inlineStr">
        <is>
          <t>Sales Growth</t>
        </is>
      </c>
      <c r="C39" s="64" t="n">
        <v>0.01411761332506731</v>
      </c>
      <c r="D39" s="64">
        <f>C39</f>
        <v/>
      </c>
      <c r="E39" s="64">
        <f>E8</f>
        <v/>
      </c>
      <c r="F39" t="inlineStr"/>
      <c r="G39" t="inlineStr"/>
      <c r="H39" t="inlineStr"/>
      <c r="I39" t="inlineStr"/>
      <c r="J39" t="inlineStr"/>
      <c r="K39" t="inlineStr"/>
      <c r="L39" t="inlineStr"/>
      <c r="M39" t="inlineStr"/>
    </row>
    <row r="40">
      <c r="B40" s="65" t="inlineStr">
        <is>
          <t>Effective Tax Rate</t>
        </is>
      </c>
      <c r="C40" s="66" t="n">
        <v>0.1736585701933234</v>
      </c>
      <c r="D40" s="66">
        <f>C40</f>
        <v/>
      </c>
      <c r="E40" s="66">
        <f>C40</f>
        <v/>
      </c>
      <c r="F40" t="inlineStr"/>
      <c r="G40" t="inlineStr"/>
      <c r="H40" t="inlineStr"/>
      <c r="I40" t="inlineStr"/>
      <c r="J40" t="inlineStr"/>
      <c r="K40" t="inlineStr"/>
      <c r="L40" t="inlineStr"/>
      <c r="M40" t="inlineStr"/>
    </row>
    <row r="41">
      <c r="B41" s="65" t="inlineStr">
        <is>
          <t>EBITDA : Revenue (%)</t>
        </is>
      </c>
      <c r="C41" s="66" t="n">
        <v>0.3365097964845835</v>
      </c>
      <c r="D41" s="66">
        <f>C41</f>
        <v/>
      </c>
      <c r="E41" s="66">
        <f>C41</f>
        <v/>
      </c>
      <c r="F41" t="inlineStr"/>
      <c r="G41" t="inlineStr"/>
      <c r="H41" t="inlineStr"/>
      <c r="I41" t="inlineStr"/>
      <c r="J41" t="inlineStr"/>
      <c r="K41" t="inlineStr"/>
      <c r="L41" t="inlineStr"/>
      <c r="M41" t="inlineStr"/>
    </row>
    <row r="42">
      <c r="B42" s="65" t="inlineStr">
        <is>
          <t>Depreciaiton : Revenue (%)</t>
        </is>
      </c>
      <c r="C42" s="66" t="n">
        <v>0.02874994910708483</v>
      </c>
      <c r="D42" s="66">
        <f>C42</f>
        <v/>
      </c>
      <c r="E42" s="66">
        <f>C42</f>
        <v/>
      </c>
      <c r="F42" t="inlineStr"/>
      <c r="G42" t="inlineStr"/>
      <c r="H42" t="inlineStr"/>
      <c r="I42" t="inlineStr"/>
      <c r="J42" t="inlineStr"/>
      <c r="K42" t="inlineStr"/>
      <c r="L42" t="inlineStr"/>
      <c r="M42" t="inlineStr"/>
    </row>
    <row r="43">
      <c r="B43" s="65" t="inlineStr">
        <is>
          <t>Working Capital : Revenue (%)</t>
        </is>
      </c>
      <c r="C43" s="66" t="n">
        <v>-0.01236187909060065</v>
      </c>
      <c r="D43" s="66">
        <f>C43</f>
        <v/>
      </c>
      <c r="E43" s="66">
        <f>C43</f>
        <v/>
      </c>
      <c r="F43" t="inlineStr"/>
      <c r="G43" t="inlineStr"/>
      <c r="H43" t="inlineStr"/>
      <c r="I43" t="inlineStr"/>
      <c r="J43" t="inlineStr"/>
      <c r="K43" t="inlineStr"/>
      <c r="L43" t="inlineStr"/>
      <c r="M43" t="inlineStr"/>
    </row>
    <row r="44">
      <c r="B44" s="67" t="inlineStr">
        <is>
          <t>CAPEX : Revenue (%)</t>
        </is>
      </c>
      <c r="C44" s="68" t="n">
        <v>0.02752289204073066</v>
      </c>
      <c r="D44" s="68">
        <f>C44</f>
        <v/>
      </c>
      <c r="E44" s="68">
        <f>C44</f>
        <v/>
      </c>
      <c r="F44" t="inlineStr"/>
      <c r="G44" t="inlineStr"/>
      <c r="H44" t="inlineStr"/>
      <c r="I44" t="inlineStr"/>
      <c r="J44" t="inlineStr"/>
      <c r="K44" t="inlineStr"/>
      <c r="L44" t="inlineStr"/>
      <c r="M44" t="inlineStr"/>
    </row>
    <row r="45">
      <c r="B45" s="5" t="inlineStr">
        <is>
          <t>WACC</t>
        </is>
      </c>
      <c r="C45" s="56">
        <f>AAPL_Historical_DCF!$G$43</f>
        <v/>
      </c>
      <c r="D45" t="inlineStr"/>
      <c r="E45" t="inlineStr"/>
      <c r="F45" t="inlineStr"/>
      <c r="G45" t="inlineStr"/>
      <c r="H45" t="inlineStr"/>
      <c r="I45" t="inlineStr"/>
      <c r="J45" t="inlineStr"/>
      <c r="K45" t="inlineStr"/>
      <c r="L45" t="inlineStr"/>
      <c r="M45" t="inlineStr"/>
    </row>
    <row r="46">
      <c r="B46" s="5" t="inlineStr">
        <is>
          <t>Fair Price</t>
        </is>
      </c>
      <c r="C46" s="57">
        <f>AAPL_Historical_DCF!$C$40</f>
        <v/>
      </c>
      <c r="D46" t="inlineStr"/>
      <c r="E46" t="inlineStr"/>
      <c r="F46" t="inlineStr"/>
      <c r="G46" t="inlineStr"/>
      <c r="H46" t="inlineStr"/>
      <c r="I46" t="inlineStr"/>
      <c r="J46" t="inlineStr"/>
      <c r="K46" t="inlineStr"/>
      <c r="L46" t="inlineStr"/>
      <c r="M46" t="inlineStr"/>
    </row>
    <row r="47">
      <c r="B47" s="5" t="inlineStr">
        <is>
          <t>Under / Over</t>
        </is>
      </c>
      <c r="C47" s="69">
        <f>AAPL_Historical_DCF!$C$42</f>
        <v/>
      </c>
      <c r="D47" t="inlineStr"/>
      <c r="E47" t="inlineStr"/>
      <c r="F47" t="inlineStr"/>
      <c r="G47" t="inlineStr"/>
      <c r="H47" t="inlineStr"/>
      <c r="I47" t="inlineStr"/>
      <c r="J47" t="inlineStr"/>
      <c r="K47" t="inlineStr"/>
      <c r="L47" t="inlineStr"/>
      <c r="M47" t="inlineStr"/>
    </row>
    <row r="48">
      <c r="B48" t="inlineStr"/>
      <c r="C48" t="inlineStr"/>
      <c r="D48" t="inlineStr"/>
      <c r="E48" t="inlineStr"/>
      <c r="F48" t="inlineStr"/>
      <c r="G48" t="inlineStr"/>
      <c r="H48" t="inlineStr"/>
      <c r="I48" t="inlineStr"/>
      <c r="J48" t="inlineStr"/>
      <c r="K48" t="inlineStr"/>
      <c r="L48" t="inlineStr"/>
      <c r="M48" t="inlineStr"/>
    </row>
  </sheetData>
  <mergeCells count="1">
    <mergeCell ref="B3:C4"/>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B3:CM43"/>
  <sheetViews>
    <sheetView workbookViewId="0">
      <selection activeCell="A1" sqref="A1"/>
    </sheetView>
  </sheetViews>
  <sheetFormatPr baseColWidth="8" defaultRowHeight="15" outlineLevelCol="0"/>
  <cols>
    <col width="31" customWidth="1" min="2" max="2"/>
    <col width="21" customWidth="1" min="3" max="3"/>
    <col width="21" customWidth="1" min="4" max="4"/>
    <col width="21" customWidth="1" min="5" max="5"/>
    <col width="21" customWidth="1" min="6" max="6"/>
    <col width="21" customWidth="1" min="7" max="7"/>
    <col width="21" customWidth="1" min="8" max="8"/>
    <col width="21" customWidth="1" min="9" max="9"/>
    <col width="21" customWidth="1" min="10" max="10"/>
    <col width="21" customWidth="1" min="11" max="11"/>
    <col width="21" customWidth="1" min="12" max="12"/>
    <col width="21" customWidth="1" min="13" max="13"/>
    <col width="21" customWidth="1" min="14" max="14"/>
    <col width="21" customWidth="1" min="15" max="15"/>
    <col width="21" customWidth="1" min="16" max="16"/>
    <col width="21" customWidth="1" min="17" max="17"/>
    <col width="21" customWidth="1" min="18" max="18"/>
    <col width="21" customWidth="1" min="19" max="19"/>
    <col width="21" customWidth="1" min="20" max="20"/>
    <col width="21" customWidth="1" min="21" max="21"/>
    <col width="21" customWidth="1" min="22" max="22"/>
    <col width="21" customWidth="1" min="23" max="23"/>
    <col width="21" customWidth="1" min="24" max="24"/>
    <col width="21" customWidth="1" min="25" max="25"/>
    <col width="21" customWidth="1" min="26" max="26"/>
    <col width="21" customWidth="1" min="27" max="27"/>
    <col width="21" customWidth="1" min="28" max="28"/>
    <col width="21" customWidth="1" min="29" max="29"/>
    <col width="21" customWidth="1" min="30" max="30"/>
    <col width="21" customWidth="1" min="31" max="31"/>
    <col width="21" customWidth="1" min="32" max="32"/>
    <col width="21" customWidth="1" min="33" max="33"/>
    <col width="21" customWidth="1" min="34" max="34"/>
    <col width="21" customWidth="1" min="35" max="35"/>
    <col width="21" customWidth="1" min="36" max="36"/>
    <col width="21" customWidth="1" min="37" max="37"/>
    <col width="21" customWidth="1" min="38" max="38"/>
    <col width="21" customWidth="1" min="39" max="39"/>
    <col width="21" customWidth="1" min="40" max="40"/>
    <col width="21" customWidth="1" min="41" max="41"/>
    <col width="21" customWidth="1" min="42" max="42"/>
    <col width="21" customWidth="1" min="43" max="43"/>
    <col width="21" customWidth="1" min="44" max="44"/>
    <col width="21" customWidth="1" min="45" max="45"/>
    <col width="21" customWidth="1" min="46" max="46"/>
    <col width="21" customWidth="1" min="47" max="47"/>
    <col width="21" customWidth="1" min="48" max="48"/>
    <col width="21" customWidth="1" min="49" max="49"/>
    <col width="21" customWidth="1" min="50" max="50"/>
    <col width="21" customWidth="1" min="51" max="51"/>
    <col width="21" customWidth="1" min="52" max="52"/>
    <col width="21" customWidth="1" min="53" max="53"/>
    <col width="21" customWidth="1" min="54" max="54"/>
    <col width="21" customWidth="1" min="55" max="55"/>
    <col width="21" customWidth="1" min="56" max="56"/>
    <col width="21" customWidth="1" min="57" max="57"/>
    <col width="21" customWidth="1" min="58" max="58"/>
    <col width="21" customWidth="1" min="59" max="59"/>
    <col width="21" customWidth="1" min="60" max="60"/>
    <col width="21" customWidth="1" min="61" max="61"/>
    <col width="21" customWidth="1" min="62" max="62"/>
    <col width="21" customWidth="1" min="63" max="63"/>
    <col width="21" customWidth="1" min="64" max="64"/>
    <col width="21" customWidth="1" min="65" max="65"/>
    <col width="21" customWidth="1" min="66" max="66"/>
    <col width="21" customWidth="1" min="67" max="67"/>
    <col width="21" customWidth="1" min="68" max="68"/>
    <col width="21" customWidth="1" min="69" max="69"/>
    <col width="21" customWidth="1" min="70" max="70"/>
    <col width="21" customWidth="1" min="71" max="71"/>
    <col width="21" customWidth="1" min="72" max="72"/>
    <col width="21" customWidth="1" min="73" max="73"/>
    <col width="21" customWidth="1" min="74" max="74"/>
    <col width="21" customWidth="1" min="75" max="75"/>
    <col width="21" customWidth="1" min="76" max="76"/>
    <col width="21" customWidth="1" min="77" max="77"/>
    <col width="21" customWidth="1" min="78" max="78"/>
    <col width="21" customWidth="1" min="79" max="79"/>
    <col width="21" customWidth="1" min="80" max="80"/>
    <col width="21" customWidth="1" min="81" max="81"/>
    <col width="21" customWidth="1" min="82" max="82"/>
    <col width="21" customWidth="1" min="83" max="83"/>
    <col width="21" customWidth="1" min="84" max="84"/>
    <col width="21" customWidth="1" min="85" max="85"/>
    <col width="21" customWidth="1" min="86" max="86"/>
    <col width="21" customWidth="1" min="87" max="87"/>
    <col width="21" customWidth="1" min="88" max="88"/>
    <col width="21" customWidth="1" min="89" max="89"/>
    <col width="21" customWidth="1" min="90" max="90"/>
  </cols>
  <sheetData>
    <row r="3">
      <c r="B3" s="1" t="inlineStr">
        <is>
          <t>Historical Evaluation</t>
        </is>
      </c>
      <c r="C3" s="2" t="n"/>
      <c r="D3" t="inlineStr"/>
      <c r="E3" t="inlineStr"/>
      <c r="F3" t="inlineStr"/>
      <c r="G3" t="inlineStr"/>
      <c r="H3" t="inlineStr"/>
      <c r="I3" t="inlineStr"/>
      <c r="J3" t="inlineStr"/>
      <c r="K3" t="inlineStr"/>
      <c r="L3" t="inlineStr"/>
      <c r="M3" t="inlineStr"/>
      <c r="N3" t="inlineStr"/>
      <c r="O3" t="inlineStr"/>
      <c r="P3" t="inlineStr"/>
      <c r="Q3" t="inlineStr"/>
      <c r="R3" t="inlineStr"/>
      <c r="S3" t="inlineStr"/>
      <c r="T3" t="inlineStr"/>
      <c r="U3" t="inlineStr"/>
      <c r="V3" t="inlineStr"/>
      <c r="W3" t="inlineStr"/>
      <c r="X3" t="inlineStr"/>
      <c r="Y3" t="inlineStr"/>
      <c r="Z3" t="inlineStr"/>
      <c r="AA3" t="inlineStr"/>
      <c r="AB3" t="inlineStr"/>
      <c r="AC3" t="inlineStr"/>
      <c r="AD3" t="inlineStr"/>
      <c r="AE3" t="inlineStr"/>
      <c r="AF3" t="inlineStr"/>
      <c r="AG3" t="inlineStr"/>
      <c r="AH3" t="inlineStr"/>
      <c r="AI3" t="inlineStr"/>
      <c r="AJ3" t="inlineStr"/>
      <c r="AK3" t="inlineStr"/>
      <c r="AL3" t="inlineStr"/>
      <c r="AM3" t="inlineStr"/>
      <c r="AN3" t="inlineStr"/>
      <c r="AO3" t="inlineStr"/>
      <c r="AP3" t="inlineStr"/>
      <c r="AQ3" t="inlineStr"/>
      <c r="AR3" t="inlineStr"/>
      <c r="AS3" t="inlineStr"/>
      <c r="AT3" t="inlineStr"/>
      <c r="AU3" t="inlineStr"/>
      <c r="AV3" t="inlineStr"/>
      <c r="AW3" t="inlineStr"/>
      <c r="AX3" t="inlineStr"/>
      <c r="AY3" t="inlineStr"/>
      <c r="AZ3" t="inlineStr"/>
      <c r="BA3" t="inlineStr"/>
      <c r="BB3" t="inlineStr"/>
      <c r="BC3" t="inlineStr"/>
      <c r="BD3" t="inlineStr"/>
      <c r="BE3" t="inlineStr"/>
      <c r="BF3" t="inlineStr"/>
      <c r="BG3" t="inlineStr"/>
      <c r="BH3" t="inlineStr"/>
      <c r="BI3" t="inlineStr"/>
      <c r="BJ3" t="inlineStr"/>
      <c r="BK3" t="inlineStr"/>
      <c r="BL3" t="inlineStr"/>
      <c r="BM3" t="inlineStr"/>
      <c r="BN3" t="inlineStr"/>
      <c r="BO3" t="inlineStr"/>
      <c r="BP3" t="inlineStr"/>
      <c r="BQ3" t="inlineStr"/>
      <c r="BR3" t="inlineStr"/>
      <c r="BS3" t="inlineStr"/>
      <c r="BT3" t="inlineStr"/>
      <c r="BU3" t="inlineStr"/>
      <c r="BV3" t="inlineStr"/>
      <c r="BW3" t="inlineStr"/>
      <c r="BX3" t="inlineStr"/>
      <c r="BY3" t="inlineStr"/>
      <c r="BZ3" t="inlineStr"/>
      <c r="CA3" t="inlineStr"/>
      <c r="CB3" t="inlineStr"/>
      <c r="CC3" t="inlineStr"/>
      <c r="CD3" t="inlineStr"/>
      <c r="CE3" t="inlineStr"/>
      <c r="CF3" t="inlineStr"/>
      <c r="CG3" t="inlineStr"/>
      <c r="CH3" t="inlineStr"/>
      <c r="CI3" t="inlineStr"/>
      <c r="CJ3" t="inlineStr"/>
      <c r="CK3" t="inlineStr"/>
      <c r="CL3" t="inlineStr"/>
      <c r="CM3" t="inlineStr"/>
    </row>
    <row r="4">
      <c r="B4" s="3" t="n"/>
      <c r="C4" s="4" t="n"/>
      <c r="D4" t="inlineStr"/>
      <c r="E4" t="inlineStr"/>
      <c r="F4" t="inlineStr"/>
      <c r="G4" t="inlineStr"/>
      <c r="H4" t="inlineStr"/>
      <c r="I4" t="inlineStr"/>
      <c r="J4" t="inlineStr"/>
      <c r="K4" t="inlineStr"/>
      <c r="L4" t="inlineStr"/>
      <c r="M4" t="inlineStr"/>
      <c r="N4" t="inlineStr"/>
      <c r="O4" t="inlineStr"/>
      <c r="P4" t="inlineStr"/>
      <c r="Q4" t="inlineStr"/>
      <c r="R4" t="inlineStr"/>
      <c r="S4" t="inlineStr"/>
      <c r="T4" t="inlineStr"/>
      <c r="U4" t="inlineStr"/>
      <c r="V4" t="inlineStr"/>
      <c r="W4" t="inlineStr"/>
      <c r="X4" t="inlineStr"/>
      <c r="Y4" t="inlineStr"/>
      <c r="Z4" t="inlineStr"/>
      <c r="AA4" t="inlineStr"/>
      <c r="AB4" t="inlineStr"/>
      <c r="AC4" t="inlineStr"/>
      <c r="AD4" t="inlineStr"/>
      <c r="AE4" t="inlineStr"/>
      <c r="AF4" t="inlineStr"/>
      <c r="AG4" t="inlineStr"/>
      <c r="AH4" t="inlineStr"/>
      <c r="AI4" t="inlineStr"/>
      <c r="AJ4" t="inlineStr"/>
      <c r="AK4" t="inlineStr"/>
      <c r="AL4" t="inlineStr"/>
      <c r="AM4" t="inlineStr"/>
      <c r="AN4" t="inlineStr"/>
      <c r="AO4" t="inlineStr"/>
      <c r="AP4" t="inlineStr"/>
      <c r="AQ4" t="inlineStr"/>
      <c r="AR4" t="inlineStr"/>
      <c r="AS4" t="inlineStr"/>
      <c r="AT4" t="inlineStr"/>
      <c r="AU4" t="inlineStr"/>
      <c r="AV4" t="inlineStr"/>
      <c r="AW4" t="inlineStr"/>
      <c r="AX4" t="inlineStr"/>
      <c r="AY4" t="inlineStr"/>
      <c r="AZ4" t="inlineStr"/>
      <c r="BA4" t="inlineStr"/>
      <c r="BB4" t="inlineStr"/>
      <c r="BC4" t="inlineStr"/>
      <c r="BD4" t="inlineStr"/>
      <c r="BE4" t="inlineStr"/>
      <c r="BF4" t="inlineStr"/>
      <c r="BG4" t="inlineStr"/>
      <c r="BH4" t="inlineStr"/>
      <c r="BI4" t="inlineStr"/>
      <c r="BJ4" t="inlineStr"/>
      <c r="BK4" t="inlineStr"/>
      <c r="BL4" t="inlineStr"/>
      <c r="BM4" t="inlineStr"/>
      <c r="BN4" t="inlineStr"/>
      <c r="BO4" t="inlineStr"/>
      <c r="BP4" t="inlineStr"/>
      <c r="BQ4" t="inlineStr"/>
      <c r="BR4" t="inlineStr"/>
      <c r="BS4" t="inlineStr"/>
      <c r="BT4" t="inlineStr"/>
      <c r="BU4" t="inlineStr"/>
      <c r="BV4" t="inlineStr"/>
      <c r="BW4" t="inlineStr"/>
      <c r="BX4" t="inlineStr"/>
      <c r="BY4" t="inlineStr"/>
      <c r="BZ4" t="inlineStr"/>
      <c r="CA4" t="inlineStr"/>
      <c r="CB4" t="inlineStr"/>
      <c r="CC4" t="inlineStr"/>
      <c r="CD4" t="inlineStr"/>
      <c r="CE4" t="inlineStr"/>
      <c r="CF4" t="inlineStr"/>
      <c r="CG4" t="inlineStr"/>
      <c r="CH4" t="inlineStr"/>
      <c r="CI4" t="inlineStr"/>
      <c r="CJ4" t="inlineStr"/>
      <c r="CK4" t="inlineStr"/>
      <c r="CL4" t="inlineStr"/>
      <c r="CM4" t="inlineStr"/>
    </row>
    <row r="5">
      <c r="B5" t="inlineStr"/>
      <c r="C5" t="inlineStr"/>
      <c r="D5" t="inlineStr"/>
      <c r="E5" t="inlineStr"/>
      <c r="F5" t="inlineStr"/>
      <c r="G5" t="inlineStr"/>
      <c r="H5" t="inlineStr"/>
      <c r="I5" t="inlineStr"/>
      <c r="J5" t="inlineStr"/>
      <c r="K5" t="inlineStr"/>
      <c r="L5" t="inlineStr"/>
      <c r="M5" t="inlineStr"/>
      <c r="N5" t="inlineStr"/>
      <c r="O5" t="inlineStr"/>
      <c r="P5" t="inlineStr"/>
      <c r="Q5" t="inlineStr"/>
      <c r="R5" t="inlineStr"/>
      <c r="S5" t="inlineStr"/>
      <c r="T5" t="inlineStr"/>
      <c r="U5" t="inlineStr"/>
      <c r="V5" t="inlineStr"/>
      <c r="W5" t="inlineStr"/>
      <c r="X5" t="inlineStr"/>
      <c r="Y5" t="inlineStr"/>
      <c r="Z5" t="inlineStr"/>
      <c r="AA5" t="inlineStr"/>
      <c r="AB5" t="inlineStr"/>
      <c r="AC5" t="inlineStr"/>
      <c r="AD5" t="inlineStr"/>
      <c r="AE5" t="inlineStr"/>
      <c r="AF5" t="inlineStr"/>
      <c r="AG5" t="inlineStr"/>
      <c r="AH5" t="inlineStr"/>
      <c r="AI5" t="inlineStr"/>
      <c r="AJ5" t="inlineStr"/>
      <c r="AK5" t="inlineStr"/>
      <c r="AL5" t="inlineStr"/>
      <c r="AM5" t="inlineStr"/>
      <c r="AN5" t="inlineStr"/>
      <c r="AO5" t="inlineStr"/>
      <c r="AP5" t="inlineStr"/>
      <c r="AQ5" t="inlineStr"/>
      <c r="AR5" t="inlineStr"/>
      <c r="AS5" t="inlineStr"/>
      <c r="AT5" t="inlineStr"/>
      <c r="AU5" t="inlineStr"/>
      <c r="AV5" t="inlineStr"/>
      <c r="AW5" t="inlineStr"/>
      <c r="AX5" t="inlineStr"/>
      <c r="AY5" t="inlineStr"/>
      <c r="AZ5" t="inlineStr"/>
      <c r="BA5" t="inlineStr"/>
      <c r="BB5" t="inlineStr"/>
      <c r="BC5" t="inlineStr"/>
      <c r="BD5" t="inlineStr"/>
      <c r="BE5" t="inlineStr"/>
      <c r="BF5" t="inlineStr"/>
      <c r="BG5" t="inlineStr"/>
      <c r="BH5" t="inlineStr"/>
      <c r="BI5" t="inlineStr"/>
      <c r="BJ5" t="inlineStr"/>
      <c r="BK5" t="inlineStr"/>
      <c r="BL5" t="inlineStr"/>
      <c r="BM5" t="inlineStr"/>
      <c r="BN5" t="inlineStr"/>
      <c r="BO5" t="inlineStr"/>
      <c r="BP5" t="inlineStr"/>
      <c r="BQ5" t="inlineStr"/>
      <c r="BR5" t="inlineStr"/>
      <c r="BS5" t="inlineStr"/>
      <c r="BT5" t="inlineStr"/>
      <c r="BU5" t="inlineStr"/>
      <c r="BV5" t="inlineStr"/>
      <c r="BW5" t="inlineStr"/>
      <c r="BX5" t="inlineStr"/>
      <c r="BY5" t="inlineStr"/>
      <c r="BZ5" t="inlineStr"/>
      <c r="CA5" t="inlineStr"/>
      <c r="CB5" t="inlineStr"/>
      <c r="CC5" t="inlineStr"/>
      <c r="CD5" t="inlineStr"/>
      <c r="CE5" t="inlineStr"/>
      <c r="CF5" t="inlineStr"/>
      <c r="CG5" t="inlineStr"/>
      <c r="CH5" t="inlineStr"/>
      <c r="CI5" t="inlineStr"/>
      <c r="CJ5" t="inlineStr"/>
      <c r="CK5" t="inlineStr"/>
      <c r="CL5" t="inlineStr"/>
      <c r="CM5" t="inlineStr"/>
    </row>
    <row r="6">
      <c r="B6" t="inlineStr">
        <is>
          <t>Evaluation Assumptions</t>
        </is>
      </c>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c r="AX6" t="inlineStr"/>
      <c r="AY6" t="inlineStr"/>
      <c r="AZ6" t="inlineStr"/>
      <c r="BA6" t="inlineStr"/>
      <c r="BB6" t="inlineStr"/>
      <c r="BC6" t="inlineStr"/>
      <c r="BD6" t="inlineStr"/>
      <c r="BE6" t="inlineStr"/>
      <c r="BF6" t="inlineStr"/>
      <c r="BG6" t="inlineStr"/>
      <c r="BH6" t="inlineStr"/>
      <c r="BI6" t="inlineStr"/>
      <c r="BJ6" t="inlineStr"/>
      <c r="BK6" t="inlineStr"/>
      <c r="BL6" t="inlineStr"/>
      <c r="BM6" t="inlineStr"/>
      <c r="BN6" t="inlineStr"/>
      <c r="BO6" t="inlineStr"/>
      <c r="BP6" t="inlineStr"/>
      <c r="BQ6" t="inlineStr"/>
      <c r="BR6" t="inlineStr"/>
      <c r="BS6" t="inlineStr"/>
      <c r="BT6" t="inlineStr"/>
      <c r="BU6" t="inlineStr"/>
      <c r="BV6" t="inlineStr"/>
      <c r="BW6" t="inlineStr"/>
      <c r="BX6" t="inlineStr"/>
      <c r="BY6" t="inlineStr"/>
      <c r="BZ6" t="inlineStr"/>
      <c r="CA6" t="inlineStr"/>
      <c r="CB6" t="inlineStr"/>
      <c r="CC6" t="inlineStr"/>
      <c r="CD6" t="inlineStr"/>
      <c r="CE6" t="inlineStr"/>
      <c r="CF6" t="inlineStr"/>
      <c r="CG6" t="inlineStr"/>
      <c r="CH6" t="inlineStr"/>
      <c r="CI6" t="inlineStr"/>
      <c r="CJ6" t="inlineStr"/>
      <c r="CK6" t="inlineStr"/>
      <c r="CL6" t="inlineStr"/>
      <c r="CM6" t="inlineStr"/>
    </row>
    <row r="7">
      <c r="B7" s="5" t="inlineStr">
        <is>
          <t>Metric</t>
        </is>
      </c>
      <c r="C7" s="5" t="inlineStr">
        <is>
          <t>Rapid Growth Period</t>
        </is>
      </c>
      <c r="D7" s="5" t="inlineStr">
        <is>
          <t>Forecast Period</t>
        </is>
      </c>
      <c r="E7" s="5" t="inlineStr">
        <is>
          <t>Terminal Period</t>
        </is>
      </c>
      <c r="F7" t="inlineStr"/>
      <c r="G7" t="inlineStr"/>
      <c r="H7" t="inlineStr"/>
      <c r="I7" t="inlineStr"/>
      <c r="J7" t="inlineStr"/>
      <c r="K7" t="inlineStr"/>
      <c r="L7" t="inlineStr"/>
      <c r="M7" t="inlineStr"/>
      <c r="N7" t="inlineStr"/>
      <c r="O7" t="inlineStr"/>
      <c r="P7" t="inlineStr"/>
      <c r="Q7" t="inlineStr"/>
      <c r="R7" t="inlineStr"/>
      <c r="S7" t="inlineStr"/>
      <c r="T7" t="inlineStr"/>
      <c r="U7" t="inlineStr"/>
      <c r="V7" t="inlineStr"/>
      <c r="W7" t="inlineStr"/>
      <c r="X7" t="inlineStr"/>
      <c r="Y7" t="inlineStr"/>
      <c r="Z7" t="inlineStr"/>
      <c r="AA7" t="inlineStr"/>
      <c r="AB7" t="inlineStr"/>
      <c r="AC7" t="inlineStr"/>
      <c r="AD7" t="inlineStr"/>
      <c r="AE7" t="inlineStr"/>
      <c r="AF7" t="inlineStr"/>
      <c r="AG7" t="inlineStr"/>
      <c r="AH7" t="inlineStr"/>
      <c r="AI7" t="inlineStr"/>
      <c r="AJ7" t="inlineStr"/>
      <c r="AK7" t="inlineStr"/>
      <c r="AL7" t="inlineStr"/>
      <c r="AM7" t="inlineStr"/>
      <c r="AN7" t="inlineStr"/>
      <c r="AO7" t="inlineStr"/>
      <c r="AP7" t="inlineStr"/>
      <c r="AQ7" t="inlineStr"/>
      <c r="AR7" t="inlineStr"/>
      <c r="AS7" t="inlineStr"/>
      <c r="AT7" t="inlineStr"/>
      <c r="AU7" t="inlineStr"/>
      <c r="AV7" t="inlineStr"/>
      <c r="AW7" t="inlineStr"/>
      <c r="AX7" t="inlineStr"/>
      <c r="AY7" t="inlineStr"/>
      <c r="AZ7" t="inlineStr"/>
      <c r="BA7" t="inlineStr"/>
      <c r="BB7" t="inlineStr"/>
      <c r="BC7" t="inlineStr"/>
      <c r="BD7" t="inlineStr"/>
      <c r="BE7" t="inlineStr"/>
      <c r="BF7" t="inlineStr"/>
      <c r="BG7" t="inlineStr"/>
      <c r="BH7" t="inlineStr"/>
      <c r="BI7" t="inlineStr"/>
      <c r="BJ7" t="inlineStr"/>
      <c r="BK7" t="inlineStr"/>
      <c r="BL7" t="inlineStr"/>
      <c r="BM7" t="inlineStr"/>
      <c r="BN7" t="inlineStr"/>
      <c r="BO7" t="inlineStr"/>
      <c r="BP7" t="inlineStr"/>
      <c r="BQ7" t="inlineStr"/>
      <c r="BR7" t="inlineStr"/>
      <c r="BS7" t="inlineStr"/>
      <c r="BT7" t="inlineStr"/>
      <c r="BU7" t="inlineStr"/>
      <c r="BV7" t="inlineStr"/>
      <c r="BW7" t="inlineStr"/>
      <c r="BX7" t="inlineStr"/>
      <c r="BY7" t="inlineStr"/>
      <c r="BZ7" t="inlineStr"/>
      <c r="CA7" t="inlineStr"/>
      <c r="CB7" t="inlineStr"/>
      <c r="CC7" t="inlineStr"/>
      <c r="CD7" t="inlineStr"/>
      <c r="CE7" t="inlineStr"/>
      <c r="CF7" t="inlineStr"/>
      <c r="CG7" t="inlineStr"/>
      <c r="CH7" t="inlineStr"/>
      <c r="CI7" t="inlineStr"/>
      <c r="CJ7" t="inlineStr"/>
      <c r="CK7" t="inlineStr"/>
      <c r="CL7" t="inlineStr"/>
      <c r="CM7" t="inlineStr"/>
    </row>
    <row r="8">
      <c r="B8" s="6" t="inlineStr">
        <is>
          <t>Sales Growth</t>
        </is>
      </c>
      <c r="C8" s="7">
        <f>'Model_Assumptions'!C39</f>
        <v/>
      </c>
      <c r="D8" s="7">
        <f>'Model_Assumptions'!D39</f>
        <v/>
      </c>
      <c r="E8" s="7">
        <f>'Model_Assumptions'!E39</f>
        <v/>
      </c>
      <c r="F8" t="inlineStr"/>
      <c r="G8" t="inlineStr"/>
      <c r="H8" t="inlineStr"/>
      <c r="I8" t="inlineStr"/>
      <c r="J8" t="inlineStr"/>
      <c r="K8" t="inlineStr"/>
      <c r="L8" t="inlineStr"/>
      <c r="M8" t="inlineStr"/>
      <c r="N8" t="inlineStr"/>
      <c r="O8" t="inlineStr"/>
      <c r="P8" t="inlineStr"/>
      <c r="Q8" t="inlineStr"/>
      <c r="R8" t="inlineStr"/>
      <c r="S8" t="inlineStr"/>
      <c r="T8" t="inlineStr"/>
      <c r="U8" t="inlineStr"/>
      <c r="V8" t="inlineStr"/>
      <c r="W8" t="inlineStr"/>
      <c r="X8" t="inlineStr"/>
      <c r="Y8" t="inlineStr"/>
      <c r="Z8" t="inlineStr"/>
      <c r="AA8" t="inlineStr"/>
      <c r="AB8" t="inlineStr"/>
      <c r="AC8" t="inlineStr"/>
      <c r="AD8" t="inlineStr"/>
      <c r="AE8" t="inlineStr"/>
      <c r="AF8" t="inlineStr"/>
      <c r="AG8" t="inlineStr"/>
      <c r="AH8" t="inlineStr"/>
      <c r="AI8" t="inlineStr"/>
      <c r="AJ8" t="inlineStr"/>
      <c r="AK8" t="inlineStr"/>
      <c r="AL8" t="inlineStr"/>
      <c r="AM8" t="inlineStr"/>
      <c r="AN8" t="inlineStr"/>
      <c r="AO8" t="inlineStr"/>
      <c r="AP8" t="inlineStr"/>
      <c r="AQ8" t="inlineStr"/>
      <c r="AR8" t="inlineStr"/>
      <c r="AS8" t="inlineStr"/>
      <c r="AT8" t="inlineStr"/>
      <c r="AU8" t="inlineStr"/>
      <c r="AV8" t="inlineStr"/>
      <c r="AW8" t="inlineStr"/>
      <c r="AX8" t="inlineStr"/>
      <c r="AY8" t="inlineStr"/>
      <c r="AZ8" t="inlineStr"/>
      <c r="BA8" t="inlineStr"/>
      <c r="BB8" t="inlineStr"/>
      <c r="BC8" t="inlineStr"/>
      <c r="BD8" t="inlineStr"/>
      <c r="BE8" t="inlineStr"/>
      <c r="BF8" t="inlineStr"/>
      <c r="BG8" t="inlineStr"/>
      <c r="BH8" t="inlineStr"/>
      <c r="BI8" t="inlineStr"/>
      <c r="BJ8" t="inlineStr"/>
      <c r="BK8" t="inlineStr"/>
      <c r="BL8" t="inlineStr"/>
      <c r="BM8" t="inlineStr"/>
      <c r="BN8" t="inlineStr"/>
      <c r="BO8" t="inlineStr"/>
      <c r="BP8" t="inlineStr"/>
      <c r="BQ8" t="inlineStr"/>
      <c r="BR8" t="inlineStr"/>
      <c r="BS8" t="inlineStr"/>
      <c r="BT8" t="inlineStr"/>
      <c r="BU8" t="inlineStr"/>
      <c r="BV8" t="inlineStr"/>
      <c r="BW8" t="inlineStr"/>
      <c r="BX8" t="inlineStr"/>
      <c r="BY8" t="inlineStr"/>
      <c r="BZ8" t="inlineStr"/>
      <c r="CA8" t="inlineStr"/>
      <c r="CB8" t="inlineStr"/>
      <c r="CC8" t="inlineStr"/>
      <c r="CD8" t="inlineStr"/>
      <c r="CE8" t="inlineStr"/>
      <c r="CF8" t="inlineStr"/>
      <c r="CG8" t="inlineStr"/>
      <c r="CH8" t="inlineStr"/>
      <c r="CI8" t="inlineStr"/>
      <c r="CJ8" t="inlineStr"/>
      <c r="CK8" t="inlineStr"/>
      <c r="CL8" t="inlineStr"/>
      <c r="CM8" t="inlineStr"/>
    </row>
    <row r="9">
      <c r="B9" s="8" t="inlineStr">
        <is>
          <t>Effective Tax Rate</t>
        </is>
      </c>
      <c r="C9" s="9">
        <f>'Model_Assumptions'!C40</f>
        <v/>
      </c>
      <c r="D9" s="9">
        <f>'Model_Assumptions'!D40</f>
        <v/>
      </c>
      <c r="E9" s="9">
        <f>'Model_Assumptions'!E40</f>
        <v/>
      </c>
      <c r="F9" t="inlineStr"/>
      <c r="G9" t="inlineStr"/>
      <c r="H9" t="inlineStr"/>
      <c r="I9" t="inlineStr"/>
      <c r="J9" t="inlineStr"/>
      <c r="K9" t="inlineStr"/>
      <c r="L9" t="inlineStr"/>
      <c r="M9" t="inlineStr"/>
      <c r="N9" t="inlineStr"/>
      <c r="O9" t="inlineStr"/>
      <c r="P9" t="inlineStr"/>
      <c r="Q9" t="inlineStr"/>
      <c r="R9" t="inlineStr"/>
      <c r="S9" t="inlineStr"/>
      <c r="T9" t="inlineStr"/>
      <c r="U9" t="inlineStr"/>
      <c r="V9" t="inlineStr"/>
      <c r="W9" t="inlineStr"/>
      <c r="X9" t="inlineStr"/>
      <c r="Y9" t="inlineStr"/>
      <c r="Z9" t="inlineStr"/>
      <c r="AA9" t="inlineStr"/>
      <c r="AB9" t="inlineStr"/>
      <c r="AC9" t="inlineStr"/>
      <c r="AD9" t="inlineStr"/>
      <c r="AE9" t="inlineStr"/>
      <c r="AF9" t="inlineStr"/>
      <c r="AG9" t="inlineStr"/>
      <c r="AH9" t="inlineStr"/>
      <c r="AI9" t="inlineStr"/>
      <c r="AJ9" t="inlineStr"/>
      <c r="AK9" t="inlineStr"/>
      <c r="AL9" t="inlineStr"/>
      <c r="AM9" t="inlineStr"/>
      <c r="AN9" t="inlineStr"/>
      <c r="AO9" t="inlineStr"/>
      <c r="AP9" t="inlineStr"/>
      <c r="AQ9" t="inlineStr"/>
      <c r="AR9" t="inlineStr"/>
      <c r="AS9" t="inlineStr"/>
      <c r="AT9" t="inlineStr"/>
      <c r="AU9" t="inlineStr"/>
      <c r="AV9" t="inlineStr"/>
      <c r="AW9" t="inlineStr"/>
      <c r="AX9" t="inlineStr"/>
      <c r="AY9" t="inlineStr"/>
      <c r="AZ9" t="inlineStr"/>
      <c r="BA9" t="inlineStr"/>
      <c r="BB9" t="inlineStr"/>
      <c r="BC9" t="inlineStr"/>
      <c r="BD9" t="inlineStr"/>
      <c r="BE9" t="inlineStr"/>
      <c r="BF9" t="inlineStr"/>
      <c r="BG9" t="inlineStr"/>
      <c r="BH9" t="inlineStr"/>
      <c r="BI9" t="inlineStr"/>
      <c r="BJ9" t="inlineStr"/>
      <c r="BK9" t="inlineStr"/>
      <c r="BL9" t="inlineStr"/>
      <c r="BM9" t="inlineStr"/>
      <c r="BN9" t="inlineStr"/>
      <c r="BO9" t="inlineStr"/>
      <c r="BP9" t="inlineStr"/>
      <c r="BQ9" t="inlineStr"/>
      <c r="BR9" t="inlineStr"/>
      <c r="BS9" t="inlineStr"/>
      <c r="BT9" t="inlineStr"/>
      <c r="BU9" t="inlineStr"/>
      <c r="BV9" t="inlineStr"/>
      <c r="BW9" t="inlineStr"/>
      <c r="BX9" t="inlineStr"/>
      <c r="BY9" t="inlineStr"/>
      <c r="BZ9" t="inlineStr"/>
      <c r="CA9" t="inlineStr"/>
      <c r="CB9" t="inlineStr"/>
      <c r="CC9" t="inlineStr"/>
      <c r="CD9" t="inlineStr"/>
      <c r="CE9" t="inlineStr"/>
      <c r="CF9" t="inlineStr"/>
      <c r="CG9" t="inlineStr"/>
      <c r="CH9" t="inlineStr"/>
      <c r="CI9" t="inlineStr"/>
      <c r="CJ9" t="inlineStr"/>
      <c r="CK9" t="inlineStr"/>
      <c r="CL9" t="inlineStr"/>
      <c r="CM9" t="inlineStr"/>
    </row>
    <row r="10">
      <c r="B10" s="8" t="inlineStr">
        <is>
          <t>EBITDA : Revenue (%)</t>
        </is>
      </c>
      <c r="C10" s="9">
        <f>'Model_Assumptions'!C41</f>
        <v/>
      </c>
      <c r="D10" s="9">
        <f>'Model_Assumptions'!D41</f>
        <v/>
      </c>
      <c r="E10" s="9">
        <f>'Model_Assumptions'!E41</f>
        <v/>
      </c>
      <c r="F10" t="inlineStr"/>
      <c r="G10" t="inlineStr"/>
      <c r="H10" t="inlineStr"/>
      <c r="I10" t="inlineStr"/>
      <c r="J10" t="inlineStr"/>
      <c r="K10" t="inlineStr"/>
      <c r="L10" t="inlineStr"/>
      <c r="M10" t="inlineStr"/>
      <c r="N10" t="inlineStr"/>
      <c r="O10" t="inlineStr"/>
      <c r="P10" t="inlineStr"/>
      <c r="Q10" t="inlineStr"/>
      <c r="R10" t="inlineStr"/>
      <c r="S10" t="inlineStr"/>
      <c r="T10" t="inlineStr"/>
      <c r="U10" t="inlineStr"/>
      <c r="V10" t="inlineStr"/>
      <c r="W10" t="inlineStr"/>
      <c r="X10" t="inlineStr"/>
      <c r="Y10" t="inlineStr"/>
      <c r="Z10" t="inlineStr"/>
      <c r="AA10" t="inlineStr"/>
      <c r="AB10" t="inlineStr"/>
      <c r="AC10" t="inlineStr"/>
      <c r="AD10" t="inlineStr"/>
      <c r="AE10" t="inlineStr"/>
      <c r="AF10" t="inlineStr"/>
      <c r="AG10" t="inlineStr"/>
      <c r="AH10" t="inlineStr"/>
      <c r="AI10" t="inlineStr"/>
      <c r="AJ10" t="inlineStr"/>
      <c r="AK10" t="inlineStr"/>
      <c r="AL10" t="inlineStr"/>
      <c r="AM10" t="inlineStr"/>
      <c r="AN10" t="inlineStr"/>
      <c r="AO10" t="inlineStr"/>
      <c r="AP10" t="inlineStr"/>
      <c r="AQ10" t="inlineStr"/>
      <c r="AR10" t="inlineStr"/>
      <c r="AS10" t="inlineStr"/>
      <c r="AT10" t="inlineStr"/>
      <c r="AU10" t="inlineStr"/>
      <c r="AV10" t="inlineStr"/>
      <c r="AW10" t="inlineStr"/>
      <c r="AX10" t="inlineStr"/>
      <c r="AY10" t="inlineStr"/>
      <c r="AZ10" t="inlineStr"/>
      <c r="BA10" t="inlineStr"/>
      <c r="BB10" t="inlineStr"/>
      <c r="BC10" t="inlineStr"/>
      <c r="BD10" t="inlineStr"/>
      <c r="BE10" t="inlineStr"/>
      <c r="BF10" t="inlineStr"/>
      <c r="BG10" t="inlineStr"/>
      <c r="BH10" t="inlineStr"/>
      <c r="BI10" t="inlineStr"/>
      <c r="BJ10" t="inlineStr"/>
      <c r="BK10" t="inlineStr"/>
      <c r="BL10" t="inlineStr"/>
      <c r="BM10" t="inlineStr"/>
      <c r="BN10" t="inlineStr"/>
      <c r="BO10" t="inlineStr"/>
      <c r="BP10" t="inlineStr"/>
      <c r="BQ10" t="inlineStr"/>
      <c r="BR10" t="inlineStr"/>
      <c r="BS10" t="inlineStr"/>
      <c r="BT10" t="inlineStr"/>
      <c r="BU10" t="inlineStr"/>
      <c r="BV10" t="inlineStr"/>
      <c r="BW10" t="inlineStr"/>
      <c r="BX10" t="inlineStr"/>
      <c r="BY10" t="inlineStr"/>
      <c r="BZ10" t="inlineStr"/>
      <c r="CA10" t="inlineStr"/>
      <c r="CB10" t="inlineStr"/>
      <c r="CC10" t="inlineStr"/>
      <c r="CD10" t="inlineStr"/>
      <c r="CE10" t="inlineStr"/>
      <c r="CF10" t="inlineStr"/>
      <c r="CG10" t="inlineStr"/>
      <c r="CH10" t="inlineStr"/>
      <c r="CI10" t="inlineStr"/>
      <c r="CJ10" t="inlineStr"/>
      <c r="CK10" t="inlineStr"/>
      <c r="CL10" t="inlineStr"/>
      <c r="CM10" t="inlineStr"/>
    </row>
    <row r="11">
      <c r="B11" s="8" t="inlineStr">
        <is>
          <t>Depreciaiton : Revenue (%)</t>
        </is>
      </c>
      <c r="C11" s="9">
        <f>'Model_Assumptions'!C42</f>
        <v/>
      </c>
      <c r="D11" s="9">
        <f>'Model_Assumptions'!D42</f>
        <v/>
      </c>
      <c r="E11" s="9">
        <f>'Model_Assumptions'!E42</f>
        <v/>
      </c>
      <c r="F11" t="inlineStr"/>
      <c r="G11" t="inlineStr"/>
      <c r="H11" t="inlineStr"/>
      <c r="I11" t="inlineStr"/>
      <c r="J11" t="inlineStr"/>
      <c r="K11" t="inlineStr"/>
      <c r="L11" t="inlineStr"/>
      <c r="M11" t="inlineStr"/>
      <c r="N11" t="inlineStr"/>
      <c r="O11" t="inlineStr"/>
      <c r="P11" t="inlineStr"/>
      <c r="Q11" t="inlineStr"/>
      <c r="R11" t="inlineStr"/>
      <c r="S11" t="inlineStr"/>
      <c r="T11" t="inlineStr"/>
      <c r="U11" t="inlineStr"/>
      <c r="V11" t="inlineStr"/>
      <c r="W11" t="inlineStr"/>
      <c r="X11" t="inlineStr"/>
      <c r="Y11" t="inlineStr"/>
      <c r="Z11" t="inlineStr"/>
      <c r="AA11" t="inlineStr"/>
      <c r="AB11" t="inlineStr"/>
      <c r="AC11" t="inlineStr"/>
      <c r="AD11" t="inlineStr"/>
      <c r="AE11" t="inlineStr"/>
      <c r="AF11" t="inlineStr"/>
      <c r="AG11" t="inlineStr"/>
      <c r="AH11" t="inlineStr"/>
      <c r="AI11" t="inlineStr"/>
      <c r="AJ11" t="inlineStr"/>
      <c r="AK11" t="inlineStr"/>
      <c r="AL11" t="inlineStr"/>
      <c r="AM11" t="inlineStr"/>
      <c r="AN11" t="inlineStr"/>
      <c r="AO11" t="inlineStr"/>
      <c r="AP11" t="inlineStr"/>
      <c r="AQ11" t="inlineStr"/>
      <c r="AR11" t="inlineStr"/>
      <c r="AS11" t="inlineStr"/>
      <c r="AT11" t="inlineStr"/>
      <c r="AU11" t="inlineStr"/>
      <c r="AV11" t="inlineStr"/>
      <c r="AW11" t="inlineStr"/>
      <c r="AX11" t="inlineStr"/>
      <c r="AY11" t="inlineStr"/>
      <c r="AZ11" t="inlineStr"/>
      <c r="BA11" t="inlineStr"/>
      <c r="BB11" t="inlineStr"/>
      <c r="BC11" t="inlineStr"/>
      <c r="BD11" t="inlineStr"/>
      <c r="BE11" t="inlineStr"/>
      <c r="BF11" t="inlineStr"/>
      <c r="BG11" t="inlineStr"/>
      <c r="BH11" t="inlineStr"/>
      <c r="BI11" t="inlineStr"/>
      <c r="BJ11" t="inlineStr"/>
      <c r="BK11" t="inlineStr"/>
      <c r="BL11" t="inlineStr"/>
      <c r="BM11" t="inlineStr"/>
      <c r="BN11" t="inlineStr"/>
      <c r="BO11" t="inlineStr"/>
      <c r="BP11" t="inlineStr"/>
      <c r="BQ11" t="inlineStr"/>
      <c r="BR11" t="inlineStr"/>
      <c r="BS11" t="inlineStr"/>
      <c r="BT11" t="inlineStr"/>
      <c r="BU11" t="inlineStr"/>
      <c r="BV11" t="inlineStr"/>
      <c r="BW11" t="inlineStr"/>
      <c r="BX11" t="inlineStr"/>
      <c r="BY11" t="inlineStr"/>
      <c r="BZ11" t="inlineStr"/>
      <c r="CA11" t="inlineStr"/>
      <c r="CB11" t="inlineStr"/>
      <c r="CC11" t="inlineStr"/>
      <c r="CD11" t="inlineStr"/>
      <c r="CE11" t="inlineStr"/>
      <c r="CF11" t="inlineStr"/>
      <c r="CG11" t="inlineStr"/>
      <c r="CH11" t="inlineStr"/>
      <c r="CI11" t="inlineStr"/>
      <c r="CJ11" t="inlineStr"/>
      <c r="CK11" t="inlineStr"/>
      <c r="CL11" t="inlineStr"/>
      <c r="CM11" t="inlineStr"/>
    </row>
    <row r="12">
      <c r="B12" s="8" t="inlineStr">
        <is>
          <t>Working Capital : Revenue (%)</t>
        </is>
      </c>
      <c r="C12" s="9">
        <f>'Model_Assumptions'!C43</f>
        <v/>
      </c>
      <c r="D12" s="9">
        <f>'Model_Assumptions'!D43</f>
        <v/>
      </c>
      <c r="E12" s="9">
        <f>'Model_Assumptions'!E43</f>
        <v/>
      </c>
      <c r="F12" t="inlineStr"/>
      <c r="G12" t="inlineStr"/>
      <c r="H12" t="inlineStr"/>
      <c r="I12" t="inlineStr"/>
      <c r="J12" t="inlineStr"/>
      <c r="K12" t="inlineStr"/>
      <c r="L12" t="inlineStr"/>
      <c r="M12" t="inlineStr"/>
      <c r="N12" t="inlineStr"/>
      <c r="O12" t="inlineStr"/>
      <c r="P12" t="inlineStr"/>
      <c r="Q12" t="inlineStr"/>
      <c r="R12" t="inlineStr"/>
      <c r="S12" t="inlineStr"/>
      <c r="T12" t="inlineStr"/>
      <c r="U12" t="inlineStr"/>
      <c r="V12" t="inlineStr"/>
      <c r="W12" t="inlineStr"/>
      <c r="X12" t="inlineStr"/>
      <c r="Y12" t="inlineStr"/>
      <c r="Z12" t="inlineStr"/>
      <c r="AA12" t="inlineStr"/>
      <c r="AB12" t="inlineStr"/>
      <c r="AC12" t="inlineStr"/>
      <c r="AD12" t="inlineStr"/>
      <c r="AE12" t="inlineStr"/>
      <c r="AF12" t="inlineStr"/>
      <c r="AG12" t="inlineStr"/>
      <c r="AH12" t="inlineStr"/>
      <c r="AI12" t="inlineStr"/>
      <c r="AJ12" t="inlineStr"/>
      <c r="AK12" t="inlineStr"/>
      <c r="AL12" t="inlineStr"/>
      <c r="AM12" t="inlineStr"/>
      <c r="AN12" t="inlineStr"/>
      <c r="AO12" t="inlineStr"/>
      <c r="AP12" t="inlineStr"/>
      <c r="AQ12" t="inlineStr"/>
      <c r="AR12" t="inlineStr"/>
      <c r="AS12" t="inlineStr"/>
      <c r="AT12" t="inlineStr"/>
      <c r="AU12" t="inlineStr"/>
      <c r="AV12" t="inlineStr"/>
      <c r="AW12" t="inlineStr"/>
      <c r="AX12" t="inlineStr"/>
      <c r="AY12" t="inlineStr"/>
      <c r="AZ12" t="inlineStr"/>
      <c r="BA12" t="inlineStr"/>
      <c r="BB12" t="inlineStr"/>
      <c r="BC12" t="inlineStr"/>
      <c r="BD12" t="inlineStr"/>
      <c r="BE12" t="inlineStr"/>
      <c r="BF12" t="inlineStr"/>
      <c r="BG12" t="inlineStr"/>
      <c r="BH12" t="inlineStr"/>
      <c r="BI12" t="inlineStr"/>
      <c r="BJ12" t="inlineStr"/>
      <c r="BK12" t="inlineStr"/>
      <c r="BL12" t="inlineStr"/>
      <c r="BM12" t="inlineStr"/>
      <c r="BN12" t="inlineStr"/>
      <c r="BO12" t="inlineStr"/>
      <c r="BP12" t="inlineStr"/>
      <c r="BQ12" t="inlineStr"/>
      <c r="BR12" t="inlineStr"/>
      <c r="BS12" t="inlineStr"/>
      <c r="BT12" t="inlineStr"/>
      <c r="BU12" t="inlineStr"/>
      <c r="BV12" t="inlineStr"/>
      <c r="BW12" t="inlineStr"/>
      <c r="BX12" t="inlineStr"/>
      <c r="BY12" t="inlineStr"/>
      <c r="BZ12" t="inlineStr"/>
      <c r="CA12" t="inlineStr"/>
      <c r="CB12" t="inlineStr"/>
      <c r="CC12" t="inlineStr"/>
      <c r="CD12" t="inlineStr"/>
      <c r="CE12" t="inlineStr"/>
      <c r="CF12" t="inlineStr"/>
      <c r="CG12" t="inlineStr"/>
      <c r="CH12" t="inlineStr"/>
      <c r="CI12" t="inlineStr"/>
      <c r="CJ12" t="inlineStr"/>
      <c r="CK12" t="inlineStr"/>
      <c r="CL12" t="inlineStr"/>
      <c r="CM12" t="inlineStr"/>
    </row>
    <row r="13">
      <c r="B13" s="10" t="inlineStr">
        <is>
          <t>CAPEX : Revenue (%)</t>
        </is>
      </c>
      <c r="C13" s="11">
        <f>'Model_Assumptions'!C44</f>
        <v/>
      </c>
      <c r="D13" s="11">
        <f>'Model_Assumptions'!D44</f>
        <v/>
      </c>
      <c r="E13" s="11">
        <f>'Model_Assumptions'!E44</f>
        <v/>
      </c>
      <c r="F13" t="inlineStr"/>
      <c r="G13" t="inlineStr"/>
      <c r="H13" t="inlineStr"/>
      <c r="I13" t="inlineStr"/>
      <c r="J13" t="inlineStr"/>
      <c r="K13" t="inlineStr"/>
      <c r="L13" t="inlineStr"/>
      <c r="M13" t="inlineStr"/>
      <c r="N13" t="inlineStr"/>
      <c r="O13" t="inlineStr"/>
      <c r="P13" t="inlineStr"/>
      <c r="Q13" t="inlineStr"/>
      <c r="R13" t="inlineStr"/>
      <c r="S13" t="inlineStr"/>
      <c r="T13" t="inlineStr"/>
      <c r="U13" t="inlineStr"/>
      <c r="V13" t="inlineStr"/>
      <c r="W13" t="inlineStr"/>
      <c r="X13" t="inlineStr"/>
      <c r="Y13" t="inlineStr"/>
      <c r="Z13" t="inlineStr"/>
      <c r="AA13" t="inlineStr"/>
      <c r="AB13" t="inlineStr"/>
      <c r="AC13" t="inlineStr"/>
      <c r="AD13" t="inlineStr"/>
      <c r="AE13" t="inlineStr"/>
      <c r="AF13" t="inlineStr"/>
      <c r="AG13" t="inlineStr"/>
      <c r="AH13" t="inlineStr"/>
      <c r="AI13" t="inlineStr"/>
      <c r="AJ13" t="inlineStr"/>
      <c r="AK13" t="inlineStr"/>
      <c r="AL13" t="inlineStr"/>
      <c r="AM13" t="inlineStr"/>
      <c r="AN13" t="inlineStr"/>
      <c r="AO13" t="inlineStr"/>
      <c r="AP13" t="inlineStr"/>
      <c r="AQ13" t="inlineStr"/>
      <c r="AR13" t="inlineStr"/>
      <c r="AS13" t="inlineStr"/>
      <c r="AT13" t="inlineStr"/>
      <c r="AU13" t="inlineStr"/>
      <c r="AV13" t="inlineStr"/>
      <c r="AW13" t="inlineStr"/>
      <c r="AX13" t="inlineStr"/>
      <c r="AY13" t="inlineStr"/>
      <c r="AZ13" t="inlineStr"/>
      <c r="BA13" t="inlineStr"/>
      <c r="BB13" t="inlineStr"/>
      <c r="BC13" t="inlineStr"/>
      <c r="BD13" t="inlineStr"/>
      <c r="BE13" t="inlineStr"/>
      <c r="BF13" t="inlineStr"/>
      <c r="BG13" t="inlineStr"/>
      <c r="BH13" t="inlineStr"/>
      <c r="BI13" t="inlineStr"/>
      <c r="BJ13" t="inlineStr"/>
      <c r="BK13" t="inlineStr"/>
      <c r="BL13" t="inlineStr"/>
      <c r="BM13" t="inlineStr"/>
      <c r="BN13" t="inlineStr"/>
      <c r="BO13" t="inlineStr"/>
      <c r="BP13" t="inlineStr"/>
      <c r="BQ13" t="inlineStr"/>
      <c r="BR13" t="inlineStr"/>
      <c r="BS13" t="inlineStr"/>
      <c r="BT13" t="inlineStr"/>
      <c r="BU13" t="inlineStr"/>
      <c r="BV13" t="inlineStr"/>
      <c r="BW13" t="inlineStr"/>
      <c r="BX13" t="inlineStr"/>
      <c r="BY13" t="inlineStr"/>
      <c r="BZ13" t="inlineStr"/>
      <c r="CA13" t="inlineStr"/>
      <c r="CB13" t="inlineStr"/>
      <c r="CC13" t="inlineStr"/>
      <c r="CD13" t="inlineStr"/>
      <c r="CE13" t="inlineStr"/>
      <c r="CF13" t="inlineStr"/>
      <c r="CG13" t="inlineStr"/>
      <c r="CH13" t="inlineStr"/>
      <c r="CI13" t="inlineStr"/>
      <c r="CJ13" t="inlineStr"/>
      <c r="CK13" t="inlineStr"/>
      <c r="CL13" t="inlineStr"/>
      <c r="CM13" t="inlineStr"/>
    </row>
    <row r="14">
      <c r="B14" t="inlineStr"/>
      <c r="C14" t="inlineStr"/>
      <c r="D14" t="inlineStr"/>
      <c r="E14" t="inlineStr"/>
      <c r="F14" t="inlineStr"/>
      <c r="G14" t="inlineStr"/>
      <c r="H14" t="inlineStr"/>
      <c r="I14" t="inlineStr"/>
      <c r="J14" t="inlineStr"/>
      <c r="K14" t="inlineStr"/>
      <c r="L14" t="inlineStr"/>
      <c r="M14" t="inlineStr"/>
      <c r="N14" t="inlineStr"/>
      <c r="O14" t="inlineStr"/>
      <c r="P14" t="inlineStr"/>
      <c r="Q14" t="inlineStr"/>
      <c r="R14" t="inlineStr"/>
      <c r="S14" t="inlineStr"/>
      <c r="T14" t="inlineStr"/>
      <c r="U14" t="inlineStr"/>
      <c r="V14" t="inlineStr"/>
      <c r="W14" t="inlineStr"/>
      <c r="X14" t="inlineStr"/>
      <c r="Y14" t="inlineStr"/>
      <c r="Z14" t="inlineStr"/>
      <c r="AA14" t="inlineStr"/>
      <c r="AB14" t="inlineStr"/>
      <c r="AC14" t="inlineStr"/>
      <c r="AD14" t="inlineStr"/>
      <c r="AE14" t="inlineStr"/>
      <c r="AF14" t="inlineStr"/>
      <c r="AG14" t="inlineStr"/>
      <c r="AH14" t="inlineStr"/>
      <c r="AI14" t="inlineStr"/>
      <c r="AJ14" t="inlineStr"/>
      <c r="AK14" t="inlineStr"/>
      <c r="AL14" t="inlineStr"/>
      <c r="AM14" t="inlineStr"/>
      <c r="AN14" t="inlineStr"/>
      <c r="AO14" t="inlineStr"/>
      <c r="AP14" t="inlineStr"/>
      <c r="AQ14" t="inlineStr"/>
      <c r="AR14" t="inlineStr"/>
      <c r="AS14" t="inlineStr"/>
      <c r="AT14" t="inlineStr"/>
      <c r="AU14" t="inlineStr"/>
      <c r="AV14" t="inlineStr"/>
      <c r="AW14" t="inlineStr"/>
      <c r="AX14" t="inlineStr"/>
      <c r="AY14" t="inlineStr"/>
      <c r="AZ14" t="inlineStr"/>
      <c r="BA14" t="inlineStr"/>
      <c r="BB14" t="inlineStr"/>
      <c r="BC14" t="inlineStr"/>
      <c r="BD14" t="inlineStr"/>
      <c r="BE14" t="inlineStr"/>
      <c r="BF14" t="inlineStr"/>
      <c r="BG14" t="inlineStr"/>
      <c r="BH14" t="inlineStr"/>
      <c r="BI14" t="inlineStr"/>
      <c r="BJ14" t="inlineStr"/>
      <c r="BK14" t="inlineStr"/>
      <c r="BL14" t="inlineStr"/>
      <c r="BM14" t="inlineStr"/>
      <c r="BN14" t="inlineStr"/>
      <c r="BO14" t="inlineStr"/>
      <c r="BP14" t="inlineStr"/>
      <c r="BQ14" t="inlineStr"/>
      <c r="BR14" t="inlineStr"/>
      <c r="BS14" t="inlineStr"/>
      <c r="BT14" t="inlineStr"/>
      <c r="BU14" t="inlineStr"/>
      <c r="BV14" t="inlineStr"/>
      <c r="BW14" t="inlineStr"/>
      <c r="BX14" t="inlineStr"/>
      <c r="BY14" t="inlineStr"/>
      <c r="BZ14" t="inlineStr"/>
      <c r="CA14" t="inlineStr"/>
      <c r="CB14" t="inlineStr"/>
      <c r="CC14" t="inlineStr"/>
      <c r="CD14" t="inlineStr"/>
      <c r="CE14" t="inlineStr"/>
      <c r="CF14" t="inlineStr"/>
      <c r="CG14" t="inlineStr"/>
      <c r="CH14" t="inlineStr"/>
      <c r="CI14" t="inlineStr"/>
      <c r="CJ14" t="inlineStr"/>
      <c r="CK14" t="inlineStr"/>
      <c r="CL14" t="inlineStr"/>
      <c r="CM14" t="inlineStr"/>
    </row>
    <row r="15">
      <c r="B15" t="inlineStr">
        <is>
          <t>Cash Flows</t>
        </is>
      </c>
      <c r="C15" t="inlineStr"/>
      <c r="D15">
        <f>IF(Model_Assumptions!$C$8 = 0, $D$7, $C$7)</f>
        <v/>
      </c>
      <c r="E15">
        <f>IF(E16=Model_Assumptions!$C$8 +1, $D$7, IF(E16 = Model_Assumptions!$B$8+1, $E$7, ""))</f>
        <v/>
      </c>
      <c r="F15">
        <f>IF(F16=Model_Assumptions!$C$8 +1, $D$7, IF(F16 = Model_Assumptions!$B$8+1, $E$7, ""))</f>
        <v/>
      </c>
      <c r="G15">
        <f>IF(G16=Model_Assumptions!$C$8 +1, $D$7, IF(G16 = Model_Assumptions!$B$8+1, $E$7, ""))</f>
        <v/>
      </c>
      <c r="H15">
        <f>IF(H16=Model_Assumptions!$C$8 +1, $D$7, IF(H16 = Model_Assumptions!$B$8+1, $E$7, ""))</f>
        <v/>
      </c>
      <c r="I15">
        <f>IF(I16=Model_Assumptions!$C$8 +1, $D$7, IF(I16 = Model_Assumptions!$B$8+1, $E$7, ""))</f>
        <v/>
      </c>
      <c r="J15">
        <f>IF(J16=Model_Assumptions!$C$8 +1, $D$7, IF(J16 = Model_Assumptions!$B$8+1, $E$7, ""))</f>
        <v/>
      </c>
      <c r="K15">
        <f>IF(K16=Model_Assumptions!$C$8 +1, $D$7, IF(K16 = Model_Assumptions!$B$8+1, $E$7, ""))</f>
        <v/>
      </c>
      <c r="L15">
        <f>IF(L16=Model_Assumptions!$C$8 +1, $D$7, IF(L16 = Model_Assumptions!$B$8+1, $E$7, ""))</f>
        <v/>
      </c>
      <c r="M15">
        <f>IF(M16=Model_Assumptions!$C$8 +1, $D$7, IF(M16 = Model_Assumptions!$B$8+1, $E$7, ""))</f>
        <v/>
      </c>
      <c r="N15">
        <f>IF(N16=Model_Assumptions!$C$8 +1, $D$7, IF(N16 = Model_Assumptions!$B$8+1, $E$7, ""))</f>
        <v/>
      </c>
      <c r="O15">
        <f>IF(O16=Model_Assumptions!$C$8 +1, $D$7, IF(O16 = Model_Assumptions!$B$8+1, $E$7, ""))</f>
        <v/>
      </c>
      <c r="P15">
        <f>IF(P16=Model_Assumptions!$C$8 +1, $D$7, IF(P16 = Model_Assumptions!$B$8+1, $E$7, ""))</f>
        <v/>
      </c>
      <c r="Q15">
        <f>IF(Q16=Model_Assumptions!$C$8 +1, $D$7, IF(Q16 = Model_Assumptions!$B$8+1, $E$7, ""))</f>
        <v/>
      </c>
      <c r="R15">
        <f>IF(R16=Model_Assumptions!$C$8 +1, $D$7, IF(R16 = Model_Assumptions!$B$8+1, $E$7, ""))</f>
        <v/>
      </c>
      <c r="S15">
        <f>IF(S16=Model_Assumptions!$C$8 +1, $D$7, IF(S16 = Model_Assumptions!$B$8+1, $E$7, ""))</f>
        <v/>
      </c>
      <c r="T15">
        <f>IF(T16=Model_Assumptions!$C$8 +1, $D$7, IF(T16 = Model_Assumptions!$B$8+1, $E$7, ""))</f>
        <v/>
      </c>
      <c r="U15">
        <f>IF(U16=Model_Assumptions!$C$8 +1, $D$7, IF(U16 = Model_Assumptions!$B$8+1, $E$7, ""))</f>
        <v/>
      </c>
      <c r="V15">
        <f>IF(V16=Model_Assumptions!$C$8 +1, $D$7, IF(V16 = Model_Assumptions!$B$8+1, $E$7, ""))</f>
        <v/>
      </c>
      <c r="W15">
        <f>IF(W16=Model_Assumptions!$C$8 +1, $D$7, IF(W16 = Model_Assumptions!$B$8+1, $E$7, ""))</f>
        <v/>
      </c>
      <c r="X15">
        <f>IF(X16=Model_Assumptions!$C$8 +1, $D$7, IF(X16 = Model_Assumptions!$B$8+1, $E$7, ""))</f>
        <v/>
      </c>
      <c r="Y15">
        <f>IF(Y16=Model_Assumptions!$C$8 +1, $D$7, IF(Y16 = Model_Assumptions!$B$8+1, $E$7, ""))</f>
        <v/>
      </c>
      <c r="Z15">
        <f>IF(Z16=Model_Assumptions!$C$8 +1, $D$7, IF(Z16 = Model_Assumptions!$B$8+1, $E$7, ""))</f>
        <v/>
      </c>
      <c r="AA15">
        <f>IF(AA16=Model_Assumptions!$C$8 +1, $D$7, IF(AA16 = Model_Assumptions!$B$8+1, $E$7, ""))</f>
        <v/>
      </c>
      <c r="AB15">
        <f>IF(AB16=Model_Assumptions!$C$8 +1, $D$7, IF(AB16 = Model_Assumptions!$B$8+1, $E$7, ""))</f>
        <v/>
      </c>
      <c r="AC15">
        <f>IF(AC16=Model_Assumptions!$C$8 +1, $D$7, IF(AC16 = Model_Assumptions!$B$8+1, $E$7, ""))</f>
        <v/>
      </c>
      <c r="AD15">
        <f>IF(AD16=Model_Assumptions!$C$8 +1, $D$7, IF(AD16 = Model_Assumptions!$B$8+1, $E$7, ""))</f>
        <v/>
      </c>
      <c r="AE15">
        <f>IF(AE16=Model_Assumptions!$C$8 +1, $D$7, IF(AE16 = Model_Assumptions!$B$8+1, $E$7, ""))</f>
        <v/>
      </c>
      <c r="AF15">
        <f>IF(AF16=Model_Assumptions!$C$8 +1, $D$7, IF(AF16 = Model_Assumptions!$B$8+1, $E$7, ""))</f>
        <v/>
      </c>
      <c r="AG15">
        <f>IF(AG16=Model_Assumptions!$C$8 +1, $D$7, IF(AG16 = Model_Assumptions!$B$8+1, $E$7, ""))</f>
        <v/>
      </c>
      <c r="AH15">
        <f>IF(AH16=Model_Assumptions!$C$8 +1, $D$7, IF(AH16 = Model_Assumptions!$B$8+1, $E$7, ""))</f>
        <v/>
      </c>
      <c r="AI15">
        <f>IF(AI16=Model_Assumptions!$C$8 +1, $D$7, IF(AI16 = Model_Assumptions!$B$8+1, $E$7, ""))</f>
        <v/>
      </c>
      <c r="AJ15">
        <f>IF(AJ16=Model_Assumptions!$C$8 +1, $D$7, IF(AJ16 = Model_Assumptions!$B$8+1, $E$7, ""))</f>
        <v/>
      </c>
      <c r="AK15">
        <f>IF(AK16=Model_Assumptions!$C$8 +1, $D$7, IF(AK16 = Model_Assumptions!$B$8+1, $E$7, ""))</f>
        <v/>
      </c>
      <c r="AL15">
        <f>IF(AL16=Model_Assumptions!$C$8 +1, $D$7, IF(AL16 = Model_Assumptions!$B$8+1, $E$7, ""))</f>
        <v/>
      </c>
      <c r="AM15">
        <f>IF(AM16=Model_Assumptions!$C$8 +1, $D$7, IF(AM16 = Model_Assumptions!$B$8+1, $E$7, ""))</f>
        <v/>
      </c>
      <c r="AN15">
        <f>IF(AN16=Model_Assumptions!$C$8 +1, $D$7, IF(AN16 = Model_Assumptions!$B$8+1, $E$7, ""))</f>
        <v/>
      </c>
      <c r="AO15">
        <f>IF(AO16=Model_Assumptions!$C$8 +1, $D$7, IF(AO16 = Model_Assumptions!$B$8+1, $E$7, ""))</f>
        <v/>
      </c>
      <c r="AP15">
        <f>IF(AP16=Model_Assumptions!$C$8 +1, $D$7, IF(AP16 = Model_Assumptions!$B$8+1, $E$7, ""))</f>
        <v/>
      </c>
      <c r="AQ15">
        <f>IF(AQ16=Model_Assumptions!$C$8 +1, $D$7, IF(AQ16 = Model_Assumptions!$B$8+1, $E$7, ""))</f>
        <v/>
      </c>
      <c r="AR15">
        <f>IF(AR16=Model_Assumptions!$C$8 +1, $D$7, IF(AR16 = Model_Assumptions!$B$8+1, $E$7, ""))</f>
        <v/>
      </c>
      <c r="AS15">
        <f>IF(AS16=Model_Assumptions!$C$8 +1, $D$7, IF(AS16 = Model_Assumptions!$B$8+1, $E$7, ""))</f>
        <v/>
      </c>
      <c r="AT15">
        <f>IF(AT16=Model_Assumptions!$C$8 +1, $D$7, IF(AT16 = Model_Assumptions!$B$8+1, $E$7, ""))</f>
        <v/>
      </c>
      <c r="AU15">
        <f>IF(AU16=Model_Assumptions!$C$8 +1, $D$7, IF(AU16 = Model_Assumptions!$B$8+1, $E$7, ""))</f>
        <v/>
      </c>
      <c r="AV15">
        <f>IF(AV16=Model_Assumptions!$C$8 +1, $D$7, IF(AV16 = Model_Assumptions!$B$8+1, $E$7, ""))</f>
        <v/>
      </c>
      <c r="AW15">
        <f>IF(AW16=Model_Assumptions!$C$8 +1, $D$7, IF(AW16 = Model_Assumptions!$B$8+1, $E$7, ""))</f>
        <v/>
      </c>
      <c r="AX15">
        <f>IF(AX16=Model_Assumptions!$C$8 +1, $D$7, IF(AX16 = Model_Assumptions!$B$8+1, $E$7, ""))</f>
        <v/>
      </c>
      <c r="AY15">
        <f>IF(AY16=Model_Assumptions!$C$8 +1, $D$7, IF(AY16 = Model_Assumptions!$B$8+1, $E$7, ""))</f>
        <v/>
      </c>
      <c r="AZ15">
        <f>IF(AZ16=Model_Assumptions!$C$8 +1, $D$7, IF(AZ16 = Model_Assumptions!$B$8+1, $E$7, ""))</f>
        <v/>
      </c>
      <c r="BA15">
        <f>IF(BA16=Model_Assumptions!$C$8 +1, $D$7, IF(BA16 = Model_Assumptions!$B$8+1, $E$7, ""))</f>
        <v/>
      </c>
      <c r="BB15">
        <f>IF(BB16=Model_Assumptions!$C$8 +1, $D$7, IF(BB16 = Model_Assumptions!$B$8+1, $E$7, ""))</f>
        <v/>
      </c>
      <c r="BC15">
        <f>IF(BC16=Model_Assumptions!$C$8 +1, $D$7, IF(BC16 = Model_Assumptions!$B$8+1, $E$7, ""))</f>
        <v/>
      </c>
      <c r="BD15">
        <f>IF(BD16=Model_Assumptions!$C$8 +1, $D$7, IF(BD16 = Model_Assumptions!$B$8+1, $E$7, ""))</f>
        <v/>
      </c>
      <c r="BE15">
        <f>IF(BE16=Model_Assumptions!$C$8 +1, $D$7, IF(BE16 = Model_Assumptions!$B$8+1, $E$7, ""))</f>
        <v/>
      </c>
      <c r="BF15">
        <f>IF(BF16=Model_Assumptions!$C$8 +1, $D$7, IF(BF16 = Model_Assumptions!$B$8+1, $E$7, ""))</f>
        <v/>
      </c>
      <c r="BG15">
        <f>IF(BG16=Model_Assumptions!$C$8 +1, $D$7, IF(BG16 = Model_Assumptions!$B$8+1, $E$7, ""))</f>
        <v/>
      </c>
      <c r="BH15">
        <f>IF(BH16=Model_Assumptions!$C$8 +1, $D$7, IF(BH16 = Model_Assumptions!$B$8+1, $E$7, ""))</f>
        <v/>
      </c>
      <c r="BI15">
        <f>IF(BI16=Model_Assumptions!$C$8 +1, $D$7, IF(BI16 = Model_Assumptions!$B$8+1, $E$7, ""))</f>
        <v/>
      </c>
      <c r="BJ15">
        <f>IF(BJ16=Model_Assumptions!$C$8 +1, $D$7, IF(BJ16 = Model_Assumptions!$B$8+1, $E$7, ""))</f>
        <v/>
      </c>
      <c r="BK15">
        <f>IF(BK16=Model_Assumptions!$C$8 +1, $D$7, IF(BK16 = Model_Assumptions!$B$8+1, $E$7, ""))</f>
        <v/>
      </c>
      <c r="BL15">
        <f>IF(BL16=Model_Assumptions!$C$8 +1, $D$7, IF(BL16 = Model_Assumptions!$B$8+1, $E$7, ""))</f>
        <v/>
      </c>
      <c r="BM15">
        <f>IF(BM16=Model_Assumptions!$C$8 +1, $D$7, IF(BM16 = Model_Assumptions!$B$8+1, $E$7, ""))</f>
        <v/>
      </c>
      <c r="BN15">
        <f>IF(BN16=Model_Assumptions!$C$8 +1, $D$7, IF(BN16 = Model_Assumptions!$B$8+1, $E$7, ""))</f>
        <v/>
      </c>
      <c r="BO15">
        <f>IF(BO16=Model_Assumptions!$C$8 +1, $D$7, IF(BO16 = Model_Assumptions!$B$8+1, $E$7, ""))</f>
        <v/>
      </c>
      <c r="BP15">
        <f>IF(BP16=Model_Assumptions!$C$8 +1, $D$7, IF(BP16 = Model_Assumptions!$B$8+1, $E$7, ""))</f>
        <v/>
      </c>
      <c r="BQ15">
        <f>IF(BQ16=Model_Assumptions!$C$8 +1, $D$7, IF(BQ16 = Model_Assumptions!$B$8+1, $E$7, ""))</f>
        <v/>
      </c>
      <c r="BR15">
        <f>IF(BR16=Model_Assumptions!$C$8 +1, $D$7, IF(BR16 = Model_Assumptions!$B$8+1, $E$7, ""))</f>
        <v/>
      </c>
      <c r="BS15">
        <f>IF(BS16=Model_Assumptions!$C$8 +1, $D$7, IF(BS16 = Model_Assumptions!$B$8+1, $E$7, ""))</f>
        <v/>
      </c>
      <c r="BT15">
        <f>IF(BT16=Model_Assumptions!$C$8 +1, $D$7, IF(BT16 = Model_Assumptions!$B$8+1, $E$7, ""))</f>
        <v/>
      </c>
      <c r="BU15">
        <f>IF(BU16=Model_Assumptions!$C$8 +1, $D$7, IF(BU16 = Model_Assumptions!$B$8+1, $E$7, ""))</f>
        <v/>
      </c>
      <c r="BV15">
        <f>IF(BV16=Model_Assumptions!$C$8 +1, $D$7, IF(BV16 = Model_Assumptions!$B$8+1, $E$7, ""))</f>
        <v/>
      </c>
      <c r="BW15">
        <f>IF(BW16=Model_Assumptions!$C$8 +1, $D$7, IF(BW16 = Model_Assumptions!$B$8+1, $E$7, ""))</f>
        <v/>
      </c>
      <c r="BX15">
        <f>IF(BX16=Model_Assumptions!$C$8 +1, $D$7, IF(BX16 = Model_Assumptions!$B$8+1, $E$7, ""))</f>
        <v/>
      </c>
      <c r="BY15">
        <f>IF(BY16=Model_Assumptions!$C$8 +1, $D$7, IF(BY16 = Model_Assumptions!$B$8+1, $E$7, ""))</f>
        <v/>
      </c>
      <c r="BZ15">
        <f>IF(BZ16=Model_Assumptions!$C$8 +1, $D$7, IF(BZ16 = Model_Assumptions!$B$8+1, $E$7, ""))</f>
        <v/>
      </c>
      <c r="CA15">
        <f>IF(CA16=Model_Assumptions!$C$8 +1, $D$7, IF(CA16 = Model_Assumptions!$B$8+1, $E$7, ""))</f>
        <v/>
      </c>
      <c r="CB15">
        <f>IF(CB16=Model_Assumptions!$C$8 +1, $D$7, IF(CB16 = Model_Assumptions!$B$8+1, $E$7, ""))</f>
        <v/>
      </c>
      <c r="CC15">
        <f>IF(CC16=Model_Assumptions!$C$8 +1, $D$7, IF(CC16 = Model_Assumptions!$B$8+1, $E$7, ""))</f>
        <v/>
      </c>
      <c r="CD15">
        <f>IF(CD16=Model_Assumptions!$C$8 +1, $D$7, IF(CD16 = Model_Assumptions!$B$8+1, $E$7, ""))</f>
        <v/>
      </c>
      <c r="CE15">
        <f>IF(CE16=Model_Assumptions!$C$8 +1, $D$7, IF(CE16 = Model_Assumptions!$B$8+1, $E$7, ""))</f>
        <v/>
      </c>
      <c r="CF15">
        <f>IF(CF16=Model_Assumptions!$C$8 +1, $D$7, IF(CF16 = Model_Assumptions!$B$8+1, $E$7, ""))</f>
        <v/>
      </c>
      <c r="CG15">
        <f>IF(CG16=Model_Assumptions!$C$8 +1, $D$7, IF(CG16 = Model_Assumptions!$B$8+1, $E$7, ""))</f>
        <v/>
      </c>
      <c r="CH15">
        <f>IF(CH16=Model_Assumptions!$C$8 +1, $D$7, IF(CH16 = Model_Assumptions!$B$8+1, $E$7, ""))</f>
        <v/>
      </c>
      <c r="CI15">
        <f>IF(CI16=Model_Assumptions!$C$8 +1, $D$7, IF(CI16 = Model_Assumptions!$B$8+1, $E$7, ""))</f>
        <v/>
      </c>
      <c r="CJ15">
        <f>IF(CJ16=Model_Assumptions!$C$8 +1, $D$7, IF(CJ16 = Model_Assumptions!$B$8+1, $E$7, ""))</f>
        <v/>
      </c>
      <c r="CK15">
        <f>IF(CK16=Model_Assumptions!$C$8 +1, $D$7, IF(CK16 = Model_Assumptions!$B$8+1, $E$7, ""))</f>
        <v/>
      </c>
      <c r="CL15">
        <f>IF(CL16=Model_Assumptions!$C$8 +1, $D$7, IF(CL16 = Model_Assumptions!$B$8+1, $E$7, ""))</f>
        <v/>
      </c>
      <c r="CM15">
        <f>IF(CM16=Model_Assumptions!$C$8 +1, $D$7, IF(CM16 = Model_Assumptions!$B$8+1, $E$7, ""))</f>
        <v/>
      </c>
    </row>
    <row r="16">
      <c r="B16" s="5" t="inlineStr">
        <is>
          <t>Year</t>
        </is>
      </c>
      <c r="C16" s="12">
        <f>0</f>
        <v/>
      </c>
      <c r="D16" s="13">
        <f>IF(C16&lt;'Model_Assumptions'!$B$8+1,C16+1, "")</f>
        <v/>
      </c>
      <c r="E16" s="13">
        <f>IF(D16&lt;'Model_Assumptions'!$B$8+1,D16+1, "")</f>
        <v/>
      </c>
      <c r="F16" s="13">
        <f>IF(E16&lt;'Model_Assumptions'!$B$8+1,E16+1, "")</f>
        <v/>
      </c>
      <c r="G16" s="13">
        <f>IF(F16&lt;'Model_Assumptions'!$B$8+1,F16+1, "")</f>
        <v/>
      </c>
      <c r="H16" s="13">
        <f>IF(G16&lt;'Model_Assumptions'!$B$8+1,G16+1, "")</f>
        <v/>
      </c>
      <c r="I16" s="13">
        <f>IF(H16&lt;'Model_Assumptions'!$B$8+1,H16+1, "")</f>
        <v/>
      </c>
      <c r="J16" s="13">
        <f>IF(I16&lt;'Model_Assumptions'!$B$8+1,I16+1, "")</f>
        <v/>
      </c>
      <c r="K16" s="13">
        <f>IF(J16&lt;'Model_Assumptions'!$B$8+1,J16+1, "")</f>
        <v/>
      </c>
      <c r="L16" s="13">
        <f>IF(K16&lt;'Model_Assumptions'!$B$8+1,K16+1, "")</f>
        <v/>
      </c>
      <c r="M16" s="13">
        <f>IF(L16&lt;'Model_Assumptions'!$B$8+1,L16+1, "")</f>
        <v/>
      </c>
      <c r="N16" s="13">
        <f>IF(M16&lt;'Model_Assumptions'!$B$8+1,M16+1, "")</f>
        <v/>
      </c>
      <c r="O16" s="13">
        <f>IF(N16&lt;'Model_Assumptions'!$B$8+1,N16+1, "")</f>
        <v/>
      </c>
      <c r="P16" s="13">
        <f>IF(O16&lt;'Model_Assumptions'!$B$8+1,O16+1, "")</f>
        <v/>
      </c>
      <c r="Q16" s="13">
        <f>IF(P16&lt;'Model_Assumptions'!$B$8+1,P16+1, "")</f>
        <v/>
      </c>
      <c r="R16" s="13">
        <f>IF(Q16&lt;'Model_Assumptions'!$B$8+1,Q16+1, "")</f>
        <v/>
      </c>
      <c r="S16" s="13">
        <f>IF(R16&lt;'Model_Assumptions'!$B$8+1,R16+1, "")</f>
        <v/>
      </c>
      <c r="T16" s="13">
        <f>IF(S16&lt;'Model_Assumptions'!$B$8+1,S16+1, "")</f>
        <v/>
      </c>
      <c r="U16" s="13">
        <f>IF(T16&lt;'Model_Assumptions'!$B$8+1,T16+1, "")</f>
        <v/>
      </c>
      <c r="V16" s="13">
        <f>IF(U16&lt;'Model_Assumptions'!$B$8+1,U16+1, "")</f>
        <v/>
      </c>
      <c r="W16" s="13">
        <f>IF(V16&lt;'Model_Assumptions'!$B$8+1,V16+1, "")</f>
        <v/>
      </c>
      <c r="X16" s="13">
        <f>IF(W16&lt;'Model_Assumptions'!$B$8+1,W16+1, "")</f>
        <v/>
      </c>
      <c r="Y16" s="13">
        <f>IF(X16&lt;'Model_Assumptions'!$B$8+1,X16+1, "")</f>
        <v/>
      </c>
      <c r="Z16" s="13">
        <f>IF(Y16&lt;'Model_Assumptions'!$B$8+1,Y16+1, "")</f>
        <v/>
      </c>
      <c r="AA16" s="13">
        <f>IF(Z16&lt;'Model_Assumptions'!$B$8+1,Z16+1, "")</f>
        <v/>
      </c>
      <c r="AB16" s="13">
        <f>IF(AA16&lt;'Model_Assumptions'!$B$8+1,AA16+1, "")</f>
        <v/>
      </c>
      <c r="AC16" s="13">
        <f>IF(AB16&lt;'Model_Assumptions'!$B$8+1,AB16+1, "")</f>
        <v/>
      </c>
      <c r="AD16" s="13">
        <f>IF(AC16&lt;'Model_Assumptions'!$B$8+1,AC16+1, "")</f>
        <v/>
      </c>
      <c r="AE16" s="13">
        <f>IF(AD16&lt;'Model_Assumptions'!$B$8+1,AD16+1, "")</f>
        <v/>
      </c>
      <c r="AF16" s="13">
        <f>IF(AE16&lt;'Model_Assumptions'!$B$8+1,AE16+1, "")</f>
        <v/>
      </c>
      <c r="AG16" s="13">
        <f>IF(AF16&lt;'Model_Assumptions'!$B$8+1,AF16+1, "")</f>
        <v/>
      </c>
      <c r="AH16" s="13">
        <f>IF(AG16&lt;'Model_Assumptions'!$B$8+1,AG16+1, "")</f>
        <v/>
      </c>
      <c r="AI16" s="13">
        <f>IF(AH16&lt;'Model_Assumptions'!$B$8+1,AH16+1, "")</f>
        <v/>
      </c>
      <c r="AJ16" s="13">
        <f>IF(AI16&lt;'Model_Assumptions'!$B$8+1,AI16+1, "")</f>
        <v/>
      </c>
      <c r="AK16" s="13">
        <f>IF(AJ16&lt;'Model_Assumptions'!$B$8+1,AJ16+1, "")</f>
        <v/>
      </c>
      <c r="AL16" s="13">
        <f>IF(AK16&lt;'Model_Assumptions'!$B$8+1,AK16+1, "")</f>
        <v/>
      </c>
      <c r="AM16" s="13">
        <f>IF(AL16&lt;'Model_Assumptions'!$B$8+1,AL16+1, "")</f>
        <v/>
      </c>
      <c r="AN16" s="13">
        <f>IF(AM16&lt;'Model_Assumptions'!$B$8+1,AM16+1, "")</f>
        <v/>
      </c>
      <c r="AO16" s="13">
        <f>IF(AN16&lt;'Model_Assumptions'!$B$8+1,AN16+1, "")</f>
        <v/>
      </c>
      <c r="AP16" s="13">
        <f>IF(AO16&lt;'Model_Assumptions'!$B$8+1,AO16+1, "")</f>
        <v/>
      </c>
      <c r="AQ16" s="13">
        <f>IF(AP16&lt;'Model_Assumptions'!$B$8+1,AP16+1, "")</f>
        <v/>
      </c>
      <c r="AR16" s="13">
        <f>IF(AQ16&lt;'Model_Assumptions'!$B$8+1,AQ16+1, "")</f>
        <v/>
      </c>
      <c r="AS16" s="13">
        <f>IF(AR16&lt;'Model_Assumptions'!$B$8+1,AR16+1, "")</f>
        <v/>
      </c>
      <c r="AT16" s="13">
        <f>IF(AS16&lt;'Model_Assumptions'!$B$8+1,AS16+1, "")</f>
        <v/>
      </c>
      <c r="AU16" s="13">
        <f>IF(AT16&lt;'Model_Assumptions'!$B$8+1,AT16+1, "")</f>
        <v/>
      </c>
      <c r="AV16" s="13">
        <f>IF(AU16&lt;'Model_Assumptions'!$B$8+1,AU16+1, "")</f>
        <v/>
      </c>
      <c r="AW16" s="13">
        <f>IF(AV16&lt;'Model_Assumptions'!$B$8+1,AV16+1, "")</f>
        <v/>
      </c>
      <c r="AX16" s="13">
        <f>IF(AW16&lt;'Model_Assumptions'!$B$8+1,AW16+1, "")</f>
        <v/>
      </c>
      <c r="AY16" s="13">
        <f>IF(AX16&lt;'Model_Assumptions'!$B$8+1,AX16+1, "")</f>
        <v/>
      </c>
      <c r="AZ16" s="13">
        <f>IF(AY16&lt;'Model_Assumptions'!$B$8+1,AY16+1, "")</f>
        <v/>
      </c>
      <c r="BA16" s="13">
        <f>IF(AZ16&lt;'Model_Assumptions'!$B$8+1,AZ16+1, "")</f>
        <v/>
      </c>
      <c r="BB16" s="13">
        <f>IF(BA16&lt;'Model_Assumptions'!$B$8+1,BA16+1, "")</f>
        <v/>
      </c>
      <c r="BC16" s="13">
        <f>IF(BB16&lt;'Model_Assumptions'!$B$8+1,BB16+1, "")</f>
        <v/>
      </c>
      <c r="BD16" s="13">
        <f>IF(BC16&lt;'Model_Assumptions'!$B$8+1,BC16+1, "")</f>
        <v/>
      </c>
      <c r="BE16" s="13">
        <f>IF(BD16&lt;'Model_Assumptions'!$B$8+1,BD16+1, "")</f>
        <v/>
      </c>
      <c r="BF16" s="13">
        <f>IF(BE16&lt;'Model_Assumptions'!$B$8+1,BE16+1, "")</f>
        <v/>
      </c>
      <c r="BG16" s="13">
        <f>IF(BF16&lt;'Model_Assumptions'!$B$8+1,BF16+1, "")</f>
        <v/>
      </c>
      <c r="BH16" s="13">
        <f>IF(BG16&lt;'Model_Assumptions'!$B$8+1,BG16+1, "")</f>
        <v/>
      </c>
      <c r="BI16" s="13">
        <f>IF(BH16&lt;'Model_Assumptions'!$B$8+1,BH16+1, "")</f>
        <v/>
      </c>
      <c r="BJ16" s="13">
        <f>IF(BI16&lt;'Model_Assumptions'!$B$8+1,BI16+1, "")</f>
        <v/>
      </c>
      <c r="BK16" s="13">
        <f>IF(BJ16&lt;'Model_Assumptions'!$B$8+1,BJ16+1, "")</f>
        <v/>
      </c>
      <c r="BL16" s="13">
        <f>IF(BK16&lt;'Model_Assumptions'!$B$8+1,BK16+1, "")</f>
        <v/>
      </c>
      <c r="BM16" s="13">
        <f>IF(BL16&lt;'Model_Assumptions'!$B$8+1,BL16+1, "")</f>
        <v/>
      </c>
      <c r="BN16" s="13">
        <f>IF(BM16&lt;'Model_Assumptions'!$B$8+1,BM16+1, "")</f>
        <v/>
      </c>
      <c r="BO16" s="13">
        <f>IF(BN16&lt;'Model_Assumptions'!$B$8+1,BN16+1, "")</f>
        <v/>
      </c>
      <c r="BP16" s="13">
        <f>IF(BO16&lt;'Model_Assumptions'!$B$8+1,BO16+1, "")</f>
        <v/>
      </c>
      <c r="BQ16" s="13">
        <f>IF(BP16&lt;'Model_Assumptions'!$B$8+1,BP16+1, "")</f>
        <v/>
      </c>
      <c r="BR16" s="13">
        <f>IF(BQ16&lt;'Model_Assumptions'!$B$8+1,BQ16+1, "")</f>
        <v/>
      </c>
      <c r="BS16" s="13">
        <f>IF(BR16&lt;'Model_Assumptions'!$B$8+1,BR16+1, "")</f>
        <v/>
      </c>
      <c r="BT16" s="13">
        <f>IF(BS16&lt;'Model_Assumptions'!$B$8+1,BS16+1, "")</f>
        <v/>
      </c>
      <c r="BU16" s="13">
        <f>IF(BT16&lt;'Model_Assumptions'!$B$8+1,BT16+1, "")</f>
        <v/>
      </c>
      <c r="BV16" s="13">
        <f>IF(BU16&lt;'Model_Assumptions'!$B$8+1,BU16+1, "")</f>
        <v/>
      </c>
      <c r="BW16" s="13">
        <f>IF(BV16&lt;'Model_Assumptions'!$B$8+1,BV16+1, "")</f>
        <v/>
      </c>
      <c r="BX16" s="13">
        <f>IF(BW16&lt;'Model_Assumptions'!$B$8+1,BW16+1, "")</f>
        <v/>
      </c>
      <c r="BY16" s="13">
        <f>IF(BX16&lt;'Model_Assumptions'!$B$8+1,BX16+1, "")</f>
        <v/>
      </c>
      <c r="BZ16" s="13">
        <f>IF(BY16&lt;'Model_Assumptions'!$B$8+1,BY16+1, "")</f>
        <v/>
      </c>
      <c r="CA16" s="13">
        <f>IF(BZ16&lt;'Model_Assumptions'!$B$8+1,BZ16+1, "")</f>
        <v/>
      </c>
      <c r="CB16" s="13">
        <f>IF(CA16&lt;'Model_Assumptions'!$B$8+1,CA16+1, "")</f>
        <v/>
      </c>
      <c r="CC16" s="13">
        <f>IF(CB16&lt;'Model_Assumptions'!$B$8+1,CB16+1, "")</f>
        <v/>
      </c>
      <c r="CD16" s="13">
        <f>IF(CC16&lt;'Model_Assumptions'!$B$8+1,CC16+1, "")</f>
        <v/>
      </c>
      <c r="CE16" s="13">
        <f>IF(CD16&lt;'Model_Assumptions'!$B$8+1,CD16+1, "")</f>
        <v/>
      </c>
      <c r="CF16" s="13">
        <f>IF(CE16&lt;'Model_Assumptions'!$B$8+1,CE16+1, "")</f>
        <v/>
      </c>
      <c r="CG16" s="13">
        <f>IF(CF16&lt;'Model_Assumptions'!$B$8+1,CF16+1, "")</f>
        <v/>
      </c>
      <c r="CH16" s="13">
        <f>IF(CG16&lt;'Model_Assumptions'!$B$8+1,CG16+1, "")</f>
        <v/>
      </c>
      <c r="CI16" s="13">
        <f>IF(CH16&lt;'Model_Assumptions'!$B$8+1,CH16+1, "")</f>
        <v/>
      </c>
      <c r="CJ16" s="13">
        <f>IF(CI16&lt;'Model_Assumptions'!$B$8+1,CI16+1, "")</f>
        <v/>
      </c>
      <c r="CK16" s="13">
        <f>IF(CJ16&lt;'Model_Assumptions'!$B$8+1,CJ16+1, "")</f>
        <v/>
      </c>
      <c r="CL16" s="13">
        <f>IF(CK16&lt;'Model_Assumptions'!$B$8+1,CK16+1, "")</f>
        <v/>
      </c>
      <c r="CM16" s="14">
        <f>IF(CL16&lt;'Model_Assumptions'!$B$8+1,CL16+1, "")</f>
        <v/>
      </c>
    </row>
    <row r="17">
      <c r="B17" s="15" t="inlineStr">
        <is>
          <t>Revenue</t>
        </is>
      </c>
      <c r="C17" s="16" t="n">
        <v>416161000000</v>
      </c>
      <c r="D17" s="17">
        <f>IF(D$16="","",IF(D$16=('Model_Assumptions'!$B$8 +1),C$17*(1+$E$8),IF(D$16&lt;='Model_Assumptions'!$C$8,C$17*(1+$C$8),IF(D$16&gt;=('Model_Assumptions'!$C$8+1),C$17*(1+$D$8),""))))</f>
        <v/>
      </c>
      <c r="E17" s="17">
        <f>IF(E$16="","",IF(E$16=('Model_Assumptions'!$B$8 +1),D$17*(1+$E$8),IF(E$16&lt;='Model_Assumptions'!$C$8,D$17*(1+$C$8),IF(E$16&gt;=('Model_Assumptions'!$C$8+1),D$17*(1+$D$8),""))))</f>
        <v/>
      </c>
      <c r="F17" s="17">
        <f>IF(F$16="","",IF(F$16=('Model_Assumptions'!$B$8 +1),E$17*(1+$E$8),IF(F$16&lt;='Model_Assumptions'!$C$8,E$17*(1+$C$8),IF(F$16&gt;=('Model_Assumptions'!$C$8+1),E$17*(1+$D$8),""))))</f>
        <v/>
      </c>
      <c r="G17" s="17">
        <f>IF(G$16="","",IF(G$16=('Model_Assumptions'!$B$8 +1),F$17*(1+$E$8),IF(G$16&lt;='Model_Assumptions'!$C$8,F$17*(1+$C$8),IF(G$16&gt;=('Model_Assumptions'!$C$8+1),F$17*(1+$D$8),""))))</f>
        <v/>
      </c>
      <c r="H17" s="17">
        <f>IF(H$16="","",IF(H$16=('Model_Assumptions'!$B$8 +1),G$17*(1+$E$8),IF(H$16&lt;='Model_Assumptions'!$C$8,G$17*(1+$C$8),IF(H$16&gt;=('Model_Assumptions'!$C$8+1),G$17*(1+$D$8),""))))</f>
        <v/>
      </c>
      <c r="I17" s="17">
        <f>IF(I$16="","",IF(I$16=('Model_Assumptions'!$B$8 +1),H$17*(1+$E$8),IF(I$16&lt;='Model_Assumptions'!$C$8,H$17*(1+$C$8),IF(I$16&gt;=('Model_Assumptions'!$C$8+1),H$17*(1+$D$8),""))))</f>
        <v/>
      </c>
      <c r="J17" s="17">
        <f>IF(J$16="","",IF(J$16=('Model_Assumptions'!$B$8 +1),I$17*(1+$E$8),IF(J$16&lt;='Model_Assumptions'!$C$8,I$17*(1+$C$8),IF(J$16&gt;=('Model_Assumptions'!$C$8+1),I$17*(1+$D$8),""))))</f>
        <v/>
      </c>
      <c r="K17" s="17">
        <f>IF(K$16="","",IF(K$16=('Model_Assumptions'!$B$8 +1),J$17*(1+$E$8),IF(K$16&lt;='Model_Assumptions'!$C$8,J$17*(1+$C$8),IF(K$16&gt;=('Model_Assumptions'!$C$8+1),J$17*(1+$D$8),""))))</f>
        <v/>
      </c>
      <c r="L17" s="17">
        <f>IF(L$16="","",IF(L$16=('Model_Assumptions'!$B$8 +1),K$17*(1+$E$8),IF(L$16&lt;='Model_Assumptions'!$C$8,K$17*(1+$C$8),IF(L$16&gt;=('Model_Assumptions'!$C$8+1),K$17*(1+$D$8),""))))</f>
        <v/>
      </c>
      <c r="M17" s="17">
        <f>IF(M$16="","",IF(M$16=('Model_Assumptions'!$B$8 +1),L$17*(1+$E$8),IF(M$16&lt;='Model_Assumptions'!$C$8,L$17*(1+$C$8),IF(M$16&gt;=('Model_Assumptions'!$C$8+1),L$17*(1+$D$8),""))))</f>
        <v/>
      </c>
      <c r="N17" s="17">
        <f>IF(N$16="","",IF(N$16=('Model_Assumptions'!$B$8 +1),M$17*(1+$E$8),IF(N$16&lt;='Model_Assumptions'!$C$8,M$17*(1+$C$8),IF(N$16&gt;=('Model_Assumptions'!$C$8+1),M$17*(1+$D$8),""))))</f>
        <v/>
      </c>
      <c r="O17" s="17">
        <f>IF(O$16="","",IF(O$16=('Model_Assumptions'!$B$8 +1),N$17*(1+$E$8),IF(O$16&lt;='Model_Assumptions'!$C$8,N$17*(1+$C$8),IF(O$16&gt;=('Model_Assumptions'!$C$8+1),N$17*(1+$D$8),""))))</f>
        <v/>
      </c>
      <c r="P17" s="17">
        <f>IF(P$16="","",IF(P$16=('Model_Assumptions'!$B$8 +1),O$17*(1+$E$8),IF(P$16&lt;='Model_Assumptions'!$C$8,O$17*(1+$C$8),IF(P$16&gt;=('Model_Assumptions'!$C$8+1),O$17*(1+$D$8),""))))</f>
        <v/>
      </c>
      <c r="Q17" s="17">
        <f>IF(Q$16="","",IF(Q$16=('Model_Assumptions'!$B$8 +1),P$17*(1+$E$8),IF(Q$16&lt;='Model_Assumptions'!$C$8,P$17*(1+$C$8),IF(Q$16&gt;=('Model_Assumptions'!$C$8+1),P$17*(1+$D$8),""))))</f>
        <v/>
      </c>
      <c r="R17" s="17">
        <f>IF(R$16="","",IF(R$16=('Model_Assumptions'!$B$8 +1),Q$17*(1+$E$8),IF(R$16&lt;='Model_Assumptions'!$C$8,Q$17*(1+$C$8),IF(R$16&gt;=('Model_Assumptions'!$C$8+1),Q$17*(1+$D$8),""))))</f>
        <v/>
      </c>
      <c r="S17" s="17">
        <f>IF(S$16="","",IF(S$16=('Model_Assumptions'!$B$8 +1),R$17*(1+$E$8),IF(S$16&lt;='Model_Assumptions'!$C$8,R$17*(1+$C$8),IF(S$16&gt;=('Model_Assumptions'!$C$8+1),R$17*(1+$D$8),""))))</f>
        <v/>
      </c>
      <c r="T17" s="17">
        <f>IF(T$16="","",IF(T$16=('Model_Assumptions'!$B$8 +1),S$17*(1+$E$8),IF(T$16&lt;='Model_Assumptions'!$C$8,S$17*(1+$C$8),IF(T$16&gt;=('Model_Assumptions'!$C$8+1),S$17*(1+$D$8),""))))</f>
        <v/>
      </c>
      <c r="U17" s="17">
        <f>IF(U$16="","",IF(U$16=('Model_Assumptions'!$B$8 +1),T$17*(1+$E$8),IF(U$16&lt;='Model_Assumptions'!$C$8,T$17*(1+$C$8),IF(U$16&gt;=('Model_Assumptions'!$C$8+1),T$17*(1+$D$8),""))))</f>
        <v/>
      </c>
      <c r="V17" s="17">
        <f>IF(V$16="","",IF(V$16=('Model_Assumptions'!$B$8 +1),U$17*(1+$E$8),IF(V$16&lt;='Model_Assumptions'!$C$8,U$17*(1+$C$8),IF(V$16&gt;=('Model_Assumptions'!$C$8+1),U$17*(1+$D$8),""))))</f>
        <v/>
      </c>
      <c r="W17" s="17">
        <f>IF(W$16="","",IF(W$16=('Model_Assumptions'!$B$8 +1),V$17*(1+$E$8),IF(W$16&lt;='Model_Assumptions'!$C$8,V$17*(1+$C$8),IF(W$16&gt;=('Model_Assumptions'!$C$8+1),V$17*(1+$D$8),""))))</f>
        <v/>
      </c>
      <c r="X17" s="17">
        <f>IF(X$16="","",IF(X$16=('Model_Assumptions'!$B$8 +1),W$17*(1+$E$8),IF(X$16&lt;='Model_Assumptions'!$C$8,W$17*(1+$C$8),IF(X$16&gt;=('Model_Assumptions'!$C$8+1),W$17*(1+$D$8),""))))</f>
        <v/>
      </c>
      <c r="Y17" s="17">
        <f>IF(Y$16="","",IF(Y$16=('Model_Assumptions'!$B$8 +1),X$17*(1+$E$8),IF(Y$16&lt;='Model_Assumptions'!$C$8,X$17*(1+$C$8),IF(Y$16&gt;=('Model_Assumptions'!$C$8+1),X$17*(1+$D$8),""))))</f>
        <v/>
      </c>
      <c r="Z17" s="17">
        <f>IF(Z$16="","",IF(Z$16=('Model_Assumptions'!$B$8 +1),Y$17*(1+$E$8),IF(Z$16&lt;='Model_Assumptions'!$C$8,Y$17*(1+$C$8),IF(Z$16&gt;=('Model_Assumptions'!$C$8+1),Y$17*(1+$D$8),""))))</f>
        <v/>
      </c>
      <c r="AA17" s="17">
        <f>IF(AA$16="","",IF(AA$16=('Model_Assumptions'!$B$8 +1),Z$17*(1+$E$8),IF(AA$16&lt;='Model_Assumptions'!$C$8,Z$17*(1+$C$8),IF(AA$16&gt;=('Model_Assumptions'!$C$8+1),Z$17*(1+$D$8),""))))</f>
        <v/>
      </c>
      <c r="AB17" s="17">
        <f>IF(AB$16="","",IF(AB$16=('Model_Assumptions'!$B$8 +1),AA$17*(1+$E$8),IF(AB$16&lt;='Model_Assumptions'!$C$8,AA$17*(1+$C$8),IF(AB$16&gt;=('Model_Assumptions'!$C$8+1),AA$17*(1+$D$8),""))))</f>
        <v/>
      </c>
      <c r="AC17" s="17">
        <f>IF(AC$16="","",IF(AC$16=('Model_Assumptions'!$B$8 +1),AB$17*(1+$E$8),IF(AC$16&lt;='Model_Assumptions'!$C$8,AB$17*(1+$C$8),IF(AC$16&gt;=('Model_Assumptions'!$C$8+1),AB$17*(1+$D$8),""))))</f>
        <v/>
      </c>
      <c r="AD17" s="17">
        <f>IF(AD$16="","",IF(AD$16=('Model_Assumptions'!$B$8 +1),AC$17*(1+$E$8),IF(AD$16&lt;='Model_Assumptions'!$C$8,AC$17*(1+$C$8),IF(AD$16&gt;=('Model_Assumptions'!$C$8+1),AC$17*(1+$D$8),""))))</f>
        <v/>
      </c>
      <c r="AE17" s="17">
        <f>IF(AE$16="","",IF(AE$16=('Model_Assumptions'!$B$8 +1),AD$17*(1+$E$8),IF(AE$16&lt;='Model_Assumptions'!$C$8,AD$17*(1+$C$8),IF(AE$16&gt;=('Model_Assumptions'!$C$8+1),AD$17*(1+$D$8),""))))</f>
        <v/>
      </c>
      <c r="AF17" s="17">
        <f>IF(AF$16="","",IF(AF$16=('Model_Assumptions'!$B$8 +1),AE$17*(1+$E$8),IF(AF$16&lt;='Model_Assumptions'!$C$8,AE$17*(1+$C$8),IF(AF$16&gt;=('Model_Assumptions'!$C$8+1),AE$17*(1+$D$8),""))))</f>
        <v/>
      </c>
      <c r="AG17" s="17">
        <f>IF(AG$16="","",IF(AG$16=('Model_Assumptions'!$B$8 +1),AF$17*(1+$E$8),IF(AG$16&lt;='Model_Assumptions'!$C$8,AF$17*(1+$C$8),IF(AG$16&gt;=('Model_Assumptions'!$C$8+1),AF$17*(1+$D$8),""))))</f>
        <v/>
      </c>
      <c r="AH17" s="17">
        <f>IF(AH$16="","",IF(AH$16=('Model_Assumptions'!$B$8 +1),AG$17*(1+$E$8),IF(AH$16&lt;='Model_Assumptions'!$C$8,AG$17*(1+$C$8),IF(AH$16&gt;=('Model_Assumptions'!$C$8+1),AG$17*(1+$D$8),""))))</f>
        <v/>
      </c>
      <c r="AI17" s="17">
        <f>IF(AI$16="","",IF(AI$16=('Model_Assumptions'!$B$8 +1),AH$17*(1+$E$8),IF(AI$16&lt;='Model_Assumptions'!$C$8,AH$17*(1+$C$8),IF(AI$16&gt;=('Model_Assumptions'!$C$8+1),AH$17*(1+$D$8),""))))</f>
        <v/>
      </c>
      <c r="AJ17" s="17">
        <f>IF(AJ$16="","",IF(AJ$16=('Model_Assumptions'!$B$8 +1),AI$17*(1+$E$8),IF(AJ$16&lt;='Model_Assumptions'!$C$8,AI$17*(1+$C$8),IF(AJ$16&gt;=('Model_Assumptions'!$C$8+1),AI$17*(1+$D$8),""))))</f>
        <v/>
      </c>
      <c r="AK17" s="17">
        <f>IF(AK$16="","",IF(AK$16=('Model_Assumptions'!$B$8 +1),AJ$17*(1+$E$8),IF(AK$16&lt;='Model_Assumptions'!$C$8,AJ$17*(1+$C$8),IF(AK$16&gt;=('Model_Assumptions'!$C$8+1),AJ$17*(1+$D$8),""))))</f>
        <v/>
      </c>
      <c r="AL17" s="17">
        <f>IF(AL$16="","",IF(AL$16=('Model_Assumptions'!$B$8 +1),AK$17*(1+$E$8),IF(AL$16&lt;='Model_Assumptions'!$C$8,AK$17*(1+$C$8),IF(AL$16&gt;=('Model_Assumptions'!$C$8+1),AK$17*(1+$D$8),""))))</f>
        <v/>
      </c>
      <c r="AM17" s="17">
        <f>IF(AM$16="","",IF(AM$16=('Model_Assumptions'!$B$8 +1),AL$17*(1+$E$8),IF(AM$16&lt;='Model_Assumptions'!$C$8,AL$17*(1+$C$8),IF(AM$16&gt;=('Model_Assumptions'!$C$8+1),AL$17*(1+$D$8),""))))</f>
        <v/>
      </c>
      <c r="AN17" s="17">
        <f>IF(AN$16="","",IF(AN$16=('Model_Assumptions'!$B$8 +1),AM$17*(1+$E$8),IF(AN$16&lt;='Model_Assumptions'!$C$8,AM$17*(1+$C$8),IF(AN$16&gt;=('Model_Assumptions'!$C$8+1),AM$17*(1+$D$8),""))))</f>
        <v/>
      </c>
      <c r="AO17" s="17">
        <f>IF(AO$16="","",IF(AO$16=('Model_Assumptions'!$B$8 +1),AN$17*(1+$E$8),IF(AO$16&lt;='Model_Assumptions'!$C$8,AN$17*(1+$C$8),IF(AO$16&gt;=('Model_Assumptions'!$C$8+1),AN$17*(1+$D$8),""))))</f>
        <v/>
      </c>
      <c r="AP17" s="17">
        <f>IF(AP$16="","",IF(AP$16=('Model_Assumptions'!$B$8 +1),AO$17*(1+$E$8),IF(AP$16&lt;='Model_Assumptions'!$C$8,AO$17*(1+$C$8),IF(AP$16&gt;=('Model_Assumptions'!$C$8+1),AO$17*(1+$D$8),""))))</f>
        <v/>
      </c>
      <c r="AQ17" s="17">
        <f>IF(AQ$16="","",IF(AQ$16=('Model_Assumptions'!$B$8 +1),AP$17*(1+$E$8),IF(AQ$16&lt;='Model_Assumptions'!$C$8,AP$17*(1+$C$8),IF(AQ$16&gt;=('Model_Assumptions'!$C$8+1),AP$17*(1+$D$8),""))))</f>
        <v/>
      </c>
      <c r="AR17" s="17">
        <f>IF(AR$16="","",IF(AR$16=('Model_Assumptions'!$B$8 +1),AQ$17*(1+$E$8),IF(AR$16&lt;='Model_Assumptions'!$C$8,AQ$17*(1+$C$8),IF(AR$16&gt;=('Model_Assumptions'!$C$8+1),AQ$17*(1+$D$8),""))))</f>
        <v/>
      </c>
      <c r="AS17" s="17">
        <f>IF(AS$16="","",IF(AS$16=('Model_Assumptions'!$B$8 +1),AR$17*(1+$E$8),IF(AS$16&lt;='Model_Assumptions'!$C$8,AR$17*(1+$C$8),IF(AS$16&gt;=('Model_Assumptions'!$C$8+1),AR$17*(1+$D$8),""))))</f>
        <v/>
      </c>
      <c r="AT17" s="17">
        <f>IF(AT$16="","",IF(AT$16=('Model_Assumptions'!$B$8 +1),AS$17*(1+$E$8),IF(AT$16&lt;='Model_Assumptions'!$C$8,AS$17*(1+$C$8),IF(AT$16&gt;=('Model_Assumptions'!$C$8+1),AS$17*(1+$D$8),""))))</f>
        <v/>
      </c>
      <c r="AU17" s="17">
        <f>IF(AU$16="","",IF(AU$16=('Model_Assumptions'!$B$8 +1),AT$17*(1+$E$8),IF(AU$16&lt;='Model_Assumptions'!$C$8,AT$17*(1+$C$8),IF(AU$16&gt;=('Model_Assumptions'!$C$8+1),AT$17*(1+$D$8),""))))</f>
        <v/>
      </c>
      <c r="AV17" s="17">
        <f>IF(AV$16="","",IF(AV$16=('Model_Assumptions'!$B$8 +1),AU$17*(1+$E$8),IF(AV$16&lt;='Model_Assumptions'!$C$8,AU$17*(1+$C$8),IF(AV$16&gt;=('Model_Assumptions'!$C$8+1),AU$17*(1+$D$8),""))))</f>
        <v/>
      </c>
      <c r="AW17" s="17">
        <f>IF(AW$16="","",IF(AW$16=('Model_Assumptions'!$B$8 +1),AV$17*(1+$E$8),IF(AW$16&lt;='Model_Assumptions'!$C$8,AV$17*(1+$C$8),IF(AW$16&gt;=('Model_Assumptions'!$C$8+1),AV$17*(1+$D$8),""))))</f>
        <v/>
      </c>
      <c r="AX17" s="17">
        <f>IF(AX$16="","",IF(AX$16=('Model_Assumptions'!$B$8 +1),AW$17*(1+$E$8),IF(AX$16&lt;='Model_Assumptions'!$C$8,AW$17*(1+$C$8),IF(AX$16&gt;=('Model_Assumptions'!$C$8+1),AW$17*(1+$D$8),""))))</f>
        <v/>
      </c>
      <c r="AY17" s="17">
        <f>IF(AY$16="","",IF(AY$16=('Model_Assumptions'!$B$8 +1),AX$17*(1+$E$8),IF(AY$16&lt;='Model_Assumptions'!$C$8,AX$17*(1+$C$8),IF(AY$16&gt;=('Model_Assumptions'!$C$8+1),AX$17*(1+$D$8),""))))</f>
        <v/>
      </c>
      <c r="AZ17" s="17">
        <f>IF(AZ$16="","",IF(AZ$16=('Model_Assumptions'!$B$8 +1),AY$17*(1+$E$8),IF(AZ$16&lt;='Model_Assumptions'!$C$8,AY$17*(1+$C$8),IF(AZ$16&gt;=('Model_Assumptions'!$C$8+1),AY$17*(1+$D$8),""))))</f>
        <v/>
      </c>
      <c r="BA17" s="17">
        <f>IF(BA$16="","",IF(BA$16=('Model_Assumptions'!$B$8 +1),AZ$17*(1+$E$8),IF(BA$16&lt;='Model_Assumptions'!$C$8,AZ$17*(1+$C$8),IF(BA$16&gt;=('Model_Assumptions'!$C$8+1),AZ$17*(1+$D$8),""))))</f>
        <v/>
      </c>
      <c r="BB17" s="17">
        <f>IF(BB$16="","",IF(BB$16=('Model_Assumptions'!$B$8 +1),BA$17*(1+$E$8),IF(BB$16&lt;='Model_Assumptions'!$C$8,BA$17*(1+$C$8),IF(BB$16&gt;=('Model_Assumptions'!$C$8+1),BA$17*(1+$D$8),""))))</f>
        <v/>
      </c>
      <c r="BC17" s="17">
        <f>IF(BC$16="","",IF(BC$16=('Model_Assumptions'!$B$8 +1),BB$17*(1+$E$8),IF(BC$16&lt;='Model_Assumptions'!$C$8,BB$17*(1+$C$8),IF(BC$16&gt;=('Model_Assumptions'!$C$8+1),BB$17*(1+$D$8),""))))</f>
        <v/>
      </c>
      <c r="BD17" s="17">
        <f>IF(BD$16="","",IF(BD$16=('Model_Assumptions'!$B$8 +1),BC$17*(1+$E$8),IF(BD$16&lt;='Model_Assumptions'!$C$8,BC$17*(1+$C$8),IF(BD$16&gt;=('Model_Assumptions'!$C$8+1),BC$17*(1+$D$8),""))))</f>
        <v/>
      </c>
      <c r="BE17" s="17">
        <f>IF(BE$16="","",IF(BE$16=('Model_Assumptions'!$B$8 +1),BD$17*(1+$E$8),IF(BE$16&lt;='Model_Assumptions'!$C$8,BD$17*(1+$C$8),IF(BE$16&gt;=('Model_Assumptions'!$C$8+1),BD$17*(1+$D$8),""))))</f>
        <v/>
      </c>
      <c r="BF17" s="17">
        <f>IF(BF$16="","",IF(BF$16=('Model_Assumptions'!$B$8 +1),BE$17*(1+$E$8),IF(BF$16&lt;='Model_Assumptions'!$C$8,BE$17*(1+$C$8),IF(BF$16&gt;=('Model_Assumptions'!$C$8+1),BE$17*(1+$D$8),""))))</f>
        <v/>
      </c>
      <c r="BG17" s="17">
        <f>IF(BG$16="","",IF(BG$16=('Model_Assumptions'!$B$8 +1),BF$17*(1+$E$8),IF(BG$16&lt;='Model_Assumptions'!$C$8,BF$17*(1+$C$8),IF(BG$16&gt;=('Model_Assumptions'!$C$8+1),BF$17*(1+$D$8),""))))</f>
        <v/>
      </c>
      <c r="BH17" s="17">
        <f>IF(BH$16="","",IF(BH$16=('Model_Assumptions'!$B$8 +1),BG$17*(1+$E$8),IF(BH$16&lt;='Model_Assumptions'!$C$8,BG$17*(1+$C$8),IF(BH$16&gt;=('Model_Assumptions'!$C$8+1),BG$17*(1+$D$8),""))))</f>
        <v/>
      </c>
      <c r="BI17" s="17">
        <f>IF(BI$16="","",IF(BI$16=('Model_Assumptions'!$B$8 +1),BH$17*(1+$E$8),IF(BI$16&lt;='Model_Assumptions'!$C$8,BH$17*(1+$C$8),IF(BI$16&gt;=('Model_Assumptions'!$C$8+1),BH$17*(1+$D$8),""))))</f>
        <v/>
      </c>
      <c r="BJ17" s="17">
        <f>IF(BJ$16="","",IF(BJ$16=('Model_Assumptions'!$B$8 +1),BI$17*(1+$E$8),IF(BJ$16&lt;='Model_Assumptions'!$C$8,BI$17*(1+$C$8),IF(BJ$16&gt;=('Model_Assumptions'!$C$8+1),BI$17*(1+$D$8),""))))</f>
        <v/>
      </c>
      <c r="BK17" s="17">
        <f>IF(BK$16="","",IF(BK$16=('Model_Assumptions'!$B$8 +1),BJ$17*(1+$E$8),IF(BK$16&lt;='Model_Assumptions'!$C$8,BJ$17*(1+$C$8),IF(BK$16&gt;=('Model_Assumptions'!$C$8+1),BJ$17*(1+$D$8),""))))</f>
        <v/>
      </c>
      <c r="BL17" s="17">
        <f>IF(BL$16="","",IF(BL$16=('Model_Assumptions'!$B$8 +1),BK$17*(1+$E$8),IF(BL$16&lt;='Model_Assumptions'!$C$8,BK$17*(1+$C$8),IF(BL$16&gt;=('Model_Assumptions'!$C$8+1),BK$17*(1+$D$8),""))))</f>
        <v/>
      </c>
      <c r="BM17" s="17">
        <f>IF(BM$16="","",IF(BM$16=('Model_Assumptions'!$B$8 +1),BL$17*(1+$E$8),IF(BM$16&lt;='Model_Assumptions'!$C$8,BL$17*(1+$C$8),IF(BM$16&gt;=('Model_Assumptions'!$C$8+1),BL$17*(1+$D$8),""))))</f>
        <v/>
      </c>
      <c r="BN17" s="17">
        <f>IF(BN$16="","",IF(BN$16=('Model_Assumptions'!$B$8 +1),BM$17*(1+$E$8),IF(BN$16&lt;='Model_Assumptions'!$C$8,BM$17*(1+$C$8),IF(BN$16&gt;=('Model_Assumptions'!$C$8+1),BM$17*(1+$D$8),""))))</f>
        <v/>
      </c>
      <c r="BO17" s="17">
        <f>IF(BO$16="","",IF(BO$16=('Model_Assumptions'!$B$8 +1),BN$17*(1+$E$8),IF(BO$16&lt;='Model_Assumptions'!$C$8,BN$17*(1+$C$8),IF(BO$16&gt;=('Model_Assumptions'!$C$8+1),BN$17*(1+$D$8),""))))</f>
        <v/>
      </c>
      <c r="BP17" s="17">
        <f>IF(BP$16="","",IF(BP$16=('Model_Assumptions'!$B$8 +1),BO$17*(1+$E$8),IF(BP$16&lt;='Model_Assumptions'!$C$8,BO$17*(1+$C$8),IF(BP$16&gt;=('Model_Assumptions'!$C$8+1),BO$17*(1+$D$8),""))))</f>
        <v/>
      </c>
      <c r="BQ17" s="17">
        <f>IF(BQ$16="","",IF(BQ$16=('Model_Assumptions'!$B$8 +1),BP$17*(1+$E$8),IF(BQ$16&lt;='Model_Assumptions'!$C$8,BP$17*(1+$C$8),IF(BQ$16&gt;=('Model_Assumptions'!$C$8+1),BP$17*(1+$D$8),""))))</f>
        <v/>
      </c>
      <c r="BR17" s="17">
        <f>IF(BR$16="","",IF(BR$16=('Model_Assumptions'!$B$8 +1),BQ$17*(1+$E$8),IF(BR$16&lt;='Model_Assumptions'!$C$8,BQ$17*(1+$C$8),IF(BR$16&gt;=('Model_Assumptions'!$C$8+1),BQ$17*(1+$D$8),""))))</f>
        <v/>
      </c>
      <c r="BS17" s="17">
        <f>IF(BS$16="","",IF(BS$16=('Model_Assumptions'!$B$8 +1),BR$17*(1+$E$8),IF(BS$16&lt;='Model_Assumptions'!$C$8,BR$17*(1+$C$8),IF(BS$16&gt;=('Model_Assumptions'!$C$8+1),BR$17*(1+$D$8),""))))</f>
        <v/>
      </c>
      <c r="BT17" s="17">
        <f>IF(BT$16="","",IF(BT$16=('Model_Assumptions'!$B$8 +1),BS$17*(1+$E$8),IF(BT$16&lt;='Model_Assumptions'!$C$8,BS$17*(1+$C$8),IF(BT$16&gt;=('Model_Assumptions'!$C$8+1),BS$17*(1+$D$8),""))))</f>
        <v/>
      </c>
      <c r="BU17" s="17">
        <f>IF(BU$16="","",IF(BU$16=('Model_Assumptions'!$B$8 +1),BT$17*(1+$E$8),IF(BU$16&lt;='Model_Assumptions'!$C$8,BT$17*(1+$C$8),IF(BU$16&gt;=('Model_Assumptions'!$C$8+1),BT$17*(1+$D$8),""))))</f>
        <v/>
      </c>
      <c r="BV17" s="17">
        <f>IF(BV$16="","",IF(BV$16=('Model_Assumptions'!$B$8 +1),BU$17*(1+$E$8),IF(BV$16&lt;='Model_Assumptions'!$C$8,BU$17*(1+$C$8),IF(BV$16&gt;=('Model_Assumptions'!$C$8+1),BU$17*(1+$D$8),""))))</f>
        <v/>
      </c>
      <c r="BW17" s="17">
        <f>IF(BW$16="","",IF(BW$16=('Model_Assumptions'!$B$8 +1),BV$17*(1+$E$8),IF(BW$16&lt;='Model_Assumptions'!$C$8,BV$17*(1+$C$8),IF(BW$16&gt;=('Model_Assumptions'!$C$8+1),BV$17*(1+$D$8),""))))</f>
        <v/>
      </c>
      <c r="BX17" s="17">
        <f>IF(BX$16="","",IF(BX$16=('Model_Assumptions'!$B$8 +1),BW$17*(1+$E$8),IF(BX$16&lt;='Model_Assumptions'!$C$8,BW$17*(1+$C$8),IF(BX$16&gt;=('Model_Assumptions'!$C$8+1),BW$17*(1+$D$8),""))))</f>
        <v/>
      </c>
      <c r="BY17" s="17">
        <f>IF(BY$16="","",IF(BY$16=('Model_Assumptions'!$B$8 +1),BX$17*(1+$E$8),IF(BY$16&lt;='Model_Assumptions'!$C$8,BX$17*(1+$C$8),IF(BY$16&gt;=('Model_Assumptions'!$C$8+1),BX$17*(1+$D$8),""))))</f>
        <v/>
      </c>
      <c r="BZ17" s="17">
        <f>IF(BZ$16="","",IF(BZ$16=('Model_Assumptions'!$B$8 +1),BY$17*(1+$E$8),IF(BZ$16&lt;='Model_Assumptions'!$C$8,BY$17*(1+$C$8),IF(BZ$16&gt;=('Model_Assumptions'!$C$8+1),BY$17*(1+$D$8),""))))</f>
        <v/>
      </c>
      <c r="CA17" s="17">
        <f>IF(CA$16="","",IF(CA$16=('Model_Assumptions'!$B$8 +1),BZ$17*(1+$E$8),IF(CA$16&lt;='Model_Assumptions'!$C$8,BZ$17*(1+$C$8),IF(CA$16&gt;=('Model_Assumptions'!$C$8+1),BZ$17*(1+$D$8),""))))</f>
        <v/>
      </c>
      <c r="CB17" s="17">
        <f>IF(CB$16="","",IF(CB$16=('Model_Assumptions'!$B$8 +1),CA$17*(1+$E$8),IF(CB$16&lt;='Model_Assumptions'!$C$8,CA$17*(1+$C$8),IF(CB$16&gt;=('Model_Assumptions'!$C$8+1),CA$17*(1+$D$8),""))))</f>
        <v/>
      </c>
      <c r="CC17" s="17">
        <f>IF(CC$16="","",IF(CC$16=('Model_Assumptions'!$B$8 +1),CB$17*(1+$E$8),IF(CC$16&lt;='Model_Assumptions'!$C$8,CB$17*(1+$C$8),IF(CC$16&gt;=('Model_Assumptions'!$C$8+1),CB$17*(1+$D$8),""))))</f>
        <v/>
      </c>
      <c r="CD17" s="17">
        <f>IF(CD$16="","",IF(CD$16=('Model_Assumptions'!$B$8 +1),CC$17*(1+$E$8),IF(CD$16&lt;='Model_Assumptions'!$C$8,CC$17*(1+$C$8),IF(CD$16&gt;=('Model_Assumptions'!$C$8+1),CC$17*(1+$D$8),""))))</f>
        <v/>
      </c>
      <c r="CE17" s="17">
        <f>IF(CE$16="","",IF(CE$16=('Model_Assumptions'!$B$8 +1),CD$17*(1+$E$8),IF(CE$16&lt;='Model_Assumptions'!$C$8,CD$17*(1+$C$8),IF(CE$16&gt;=('Model_Assumptions'!$C$8+1),CD$17*(1+$D$8),""))))</f>
        <v/>
      </c>
      <c r="CF17" s="17">
        <f>IF(CF$16="","",IF(CF$16=('Model_Assumptions'!$B$8 +1),CE$17*(1+$E$8),IF(CF$16&lt;='Model_Assumptions'!$C$8,CE$17*(1+$C$8),IF(CF$16&gt;=('Model_Assumptions'!$C$8+1),CE$17*(1+$D$8),""))))</f>
        <v/>
      </c>
      <c r="CG17" s="17">
        <f>IF(CG$16="","",IF(CG$16=('Model_Assumptions'!$B$8 +1),CF$17*(1+$E$8),IF(CG$16&lt;='Model_Assumptions'!$C$8,CF$17*(1+$C$8),IF(CG$16&gt;=('Model_Assumptions'!$C$8+1),CF$17*(1+$D$8),""))))</f>
        <v/>
      </c>
      <c r="CH17" s="17">
        <f>IF(CH$16="","",IF(CH$16=('Model_Assumptions'!$B$8 +1),CG$17*(1+$E$8),IF(CH$16&lt;='Model_Assumptions'!$C$8,CG$17*(1+$C$8),IF(CH$16&gt;=('Model_Assumptions'!$C$8+1),CG$17*(1+$D$8),""))))</f>
        <v/>
      </c>
      <c r="CI17" s="17">
        <f>IF(CI$16="","",IF(CI$16=('Model_Assumptions'!$B$8 +1),CH$17*(1+$E$8),IF(CI$16&lt;='Model_Assumptions'!$C$8,CH$17*(1+$C$8),IF(CI$16&gt;=('Model_Assumptions'!$C$8+1),CH$17*(1+$D$8),""))))</f>
        <v/>
      </c>
      <c r="CJ17" s="17">
        <f>IF(CJ$16="","",IF(CJ$16=('Model_Assumptions'!$B$8 +1),CI$17*(1+$E$8),IF(CJ$16&lt;='Model_Assumptions'!$C$8,CI$17*(1+$C$8),IF(CJ$16&gt;=('Model_Assumptions'!$C$8+1),CI$17*(1+$D$8),""))))</f>
        <v/>
      </c>
      <c r="CK17" s="17">
        <f>IF(CK$16="","",IF(CK$16=('Model_Assumptions'!$B$8 +1),CJ$17*(1+$E$8),IF(CK$16&lt;='Model_Assumptions'!$C$8,CJ$17*(1+$C$8),IF(CK$16&gt;=('Model_Assumptions'!$C$8+1),CJ$17*(1+$D$8),""))))</f>
        <v/>
      </c>
      <c r="CL17" s="17">
        <f>IF(CL$16="","",IF(CL$16=('Model_Assumptions'!$B$8 +1),CK$17*(1+$E$8),IF(CL$16&lt;='Model_Assumptions'!$C$8,CK$17*(1+$C$8),IF(CL$16&gt;=('Model_Assumptions'!$C$8+1),CK$17*(1+$D$8),""))))</f>
        <v/>
      </c>
      <c r="CM17" s="18">
        <f>IF(CM$16="","",IF(CM$16=('Model_Assumptions'!$B$8 +1),CL$17*(1+$E$8),IF(CM$16&lt;='Model_Assumptions'!$C$8,CL$17*(1+$C$8),IF(CM$16&gt;=('Model_Assumptions'!$C$8+1),CL$17*(1+$D$8),""))))</f>
        <v/>
      </c>
    </row>
    <row r="18">
      <c r="B18" s="19" t="inlineStr">
        <is>
          <t>EBITDA</t>
        </is>
      </c>
      <c r="C18" s="20" t="inlineStr"/>
      <c r="D18" s="21">
        <f>IF(D$16="","",IF(D$16=('Model_Assumptions'!$B$8+1), D$17*$E$10,IF(D$16&lt;='Model_Assumptions'!$C$8,D$17*$C$10,IF(D$16&gt;=('Model_Assumptions'!$C$8 + 1), D$17*$D$10, ""))))</f>
        <v/>
      </c>
      <c r="E18" s="21">
        <f>IF(E$16="","",IF(E$16=('Model_Assumptions'!$B$8+1), E$17*$E$10,IF(E$16&lt;='Model_Assumptions'!$C$8,E$17*$C$10,IF(E$16&gt;=('Model_Assumptions'!$C$8 + 1), E$17*$D$10, ""))))</f>
        <v/>
      </c>
      <c r="F18" s="21">
        <f>IF(F$16="","",IF(F$16=('Model_Assumptions'!$B$8+1), F$17*$E$10,IF(F$16&lt;='Model_Assumptions'!$C$8,F$17*$C$10,IF(F$16&gt;=('Model_Assumptions'!$C$8 + 1), F$17*$D$10, ""))))</f>
        <v/>
      </c>
      <c r="G18" s="21">
        <f>IF(G$16="","",IF(G$16=('Model_Assumptions'!$B$8+1), G$17*$E$10,IF(G$16&lt;='Model_Assumptions'!$C$8,G$17*$C$10,IF(G$16&gt;=('Model_Assumptions'!$C$8 + 1), G$17*$D$10, ""))))</f>
        <v/>
      </c>
      <c r="H18" s="21">
        <f>IF(H$16="","",IF(H$16=('Model_Assumptions'!$B$8+1), H$17*$E$10,IF(H$16&lt;='Model_Assumptions'!$C$8,H$17*$C$10,IF(H$16&gt;=('Model_Assumptions'!$C$8 + 1), H$17*$D$10, ""))))</f>
        <v/>
      </c>
      <c r="I18" s="21">
        <f>IF(I$16="","",IF(I$16=('Model_Assumptions'!$B$8+1), I$17*$E$10,IF(I$16&lt;='Model_Assumptions'!$C$8,I$17*$C$10,IF(I$16&gt;=('Model_Assumptions'!$C$8 + 1), I$17*$D$10, ""))))</f>
        <v/>
      </c>
      <c r="J18" s="21">
        <f>IF(J$16="","",IF(J$16=('Model_Assumptions'!$B$8+1), J$17*$E$10,IF(J$16&lt;='Model_Assumptions'!$C$8,J$17*$C$10,IF(J$16&gt;=('Model_Assumptions'!$C$8 + 1), J$17*$D$10, ""))))</f>
        <v/>
      </c>
      <c r="K18" s="21">
        <f>IF(K$16="","",IF(K$16=('Model_Assumptions'!$B$8+1), K$17*$E$10,IF(K$16&lt;='Model_Assumptions'!$C$8,K$17*$C$10,IF(K$16&gt;=('Model_Assumptions'!$C$8 + 1), K$17*$D$10, ""))))</f>
        <v/>
      </c>
      <c r="L18" s="21">
        <f>IF(L$16="","",IF(L$16=('Model_Assumptions'!$B$8+1), L$17*$E$10,IF(L$16&lt;='Model_Assumptions'!$C$8,L$17*$C$10,IF(L$16&gt;=('Model_Assumptions'!$C$8 + 1), L$17*$D$10, ""))))</f>
        <v/>
      </c>
      <c r="M18" s="21">
        <f>IF(M$16="","",IF(M$16=('Model_Assumptions'!$B$8+1), M$17*$E$10,IF(M$16&lt;='Model_Assumptions'!$C$8,M$17*$C$10,IF(M$16&gt;=('Model_Assumptions'!$C$8 + 1), M$17*$D$10, ""))))</f>
        <v/>
      </c>
      <c r="N18" s="21">
        <f>IF(N$16="","",IF(N$16=('Model_Assumptions'!$B$8+1), N$17*$E$10,IF(N$16&lt;='Model_Assumptions'!$C$8,N$17*$C$10,IF(N$16&gt;=('Model_Assumptions'!$C$8 + 1), N$17*$D$10, ""))))</f>
        <v/>
      </c>
      <c r="O18" s="21">
        <f>IF(O$16="","",IF(O$16=('Model_Assumptions'!$B$8+1), O$17*$E$10,IF(O$16&lt;='Model_Assumptions'!$C$8,O$17*$C$10,IF(O$16&gt;=('Model_Assumptions'!$C$8 + 1), O$17*$D$10, ""))))</f>
        <v/>
      </c>
      <c r="P18" s="21">
        <f>IF(P$16="","",IF(P$16=('Model_Assumptions'!$B$8+1), P$17*$E$10,IF(P$16&lt;='Model_Assumptions'!$C$8,P$17*$C$10,IF(P$16&gt;=('Model_Assumptions'!$C$8 + 1), P$17*$D$10, ""))))</f>
        <v/>
      </c>
      <c r="Q18" s="21">
        <f>IF(Q$16="","",IF(Q$16=('Model_Assumptions'!$B$8+1), Q$17*$E$10,IF(Q$16&lt;='Model_Assumptions'!$C$8,Q$17*$C$10,IF(Q$16&gt;=('Model_Assumptions'!$C$8 + 1), Q$17*$D$10, ""))))</f>
        <v/>
      </c>
      <c r="R18" s="21">
        <f>IF(R$16="","",IF(R$16=('Model_Assumptions'!$B$8+1), R$17*$E$10,IF(R$16&lt;='Model_Assumptions'!$C$8,R$17*$C$10,IF(R$16&gt;=('Model_Assumptions'!$C$8 + 1), R$17*$D$10, ""))))</f>
        <v/>
      </c>
      <c r="S18" s="21">
        <f>IF(S$16="","",IF(S$16=('Model_Assumptions'!$B$8+1), S$17*$E$10,IF(S$16&lt;='Model_Assumptions'!$C$8,S$17*$C$10,IF(S$16&gt;=('Model_Assumptions'!$C$8 + 1), S$17*$D$10, ""))))</f>
        <v/>
      </c>
      <c r="T18" s="21">
        <f>IF(T$16="","",IF(T$16=('Model_Assumptions'!$B$8+1), T$17*$E$10,IF(T$16&lt;='Model_Assumptions'!$C$8,T$17*$C$10,IF(T$16&gt;=('Model_Assumptions'!$C$8 + 1), T$17*$D$10, ""))))</f>
        <v/>
      </c>
      <c r="U18" s="21">
        <f>IF(U$16="","",IF(U$16=('Model_Assumptions'!$B$8+1), U$17*$E$10,IF(U$16&lt;='Model_Assumptions'!$C$8,U$17*$C$10,IF(U$16&gt;=('Model_Assumptions'!$C$8 + 1), U$17*$D$10, ""))))</f>
        <v/>
      </c>
      <c r="V18" s="21">
        <f>IF(V$16="","",IF(V$16=('Model_Assumptions'!$B$8+1), V$17*$E$10,IF(V$16&lt;='Model_Assumptions'!$C$8,V$17*$C$10,IF(V$16&gt;=('Model_Assumptions'!$C$8 + 1), V$17*$D$10, ""))))</f>
        <v/>
      </c>
      <c r="W18" s="21">
        <f>IF(W$16="","",IF(W$16=('Model_Assumptions'!$B$8+1), W$17*$E$10,IF(W$16&lt;='Model_Assumptions'!$C$8,W$17*$C$10,IF(W$16&gt;=('Model_Assumptions'!$C$8 + 1), W$17*$D$10, ""))))</f>
        <v/>
      </c>
      <c r="X18" s="21">
        <f>IF(X$16="","",IF(X$16=('Model_Assumptions'!$B$8+1), X$17*$E$10,IF(X$16&lt;='Model_Assumptions'!$C$8,X$17*$C$10,IF(X$16&gt;=('Model_Assumptions'!$C$8 + 1), X$17*$D$10, ""))))</f>
        <v/>
      </c>
      <c r="Y18" s="21">
        <f>IF(Y$16="","",IF(Y$16=('Model_Assumptions'!$B$8+1), Y$17*$E$10,IF(Y$16&lt;='Model_Assumptions'!$C$8,Y$17*$C$10,IF(Y$16&gt;=('Model_Assumptions'!$C$8 + 1), Y$17*$D$10, ""))))</f>
        <v/>
      </c>
      <c r="Z18" s="21">
        <f>IF(Z$16="","",IF(Z$16=('Model_Assumptions'!$B$8+1), Z$17*$E$10,IF(Z$16&lt;='Model_Assumptions'!$C$8,Z$17*$C$10,IF(Z$16&gt;=('Model_Assumptions'!$C$8 + 1), Z$17*$D$10, ""))))</f>
        <v/>
      </c>
      <c r="AA18" s="21">
        <f>IF(AA$16="","",IF(AA$16=('Model_Assumptions'!$B$8+1), AA$17*$E$10,IF(AA$16&lt;='Model_Assumptions'!$C$8,AA$17*$C$10,IF(AA$16&gt;=('Model_Assumptions'!$C$8 + 1), AA$17*$D$10, ""))))</f>
        <v/>
      </c>
      <c r="AB18" s="21">
        <f>IF(AB$16="","",IF(AB$16=('Model_Assumptions'!$B$8+1), AB$17*$E$10,IF(AB$16&lt;='Model_Assumptions'!$C$8,AB$17*$C$10,IF(AB$16&gt;=('Model_Assumptions'!$C$8 + 1), AB$17*$D$10, ""))))</f>
        <v/>
      </c>
      <c r="AC18" s="21">
        <f>IF(AC$16="","",IF(AC$16=('Model_Assumptions'!$B$8+1), AC$17*$E$10,IF(AC$16&lt;='Model_Assumptions'!$C$8,AC$17*$C$10,IF(AC$16&gt;=('Model_Assumptions'!$C$8 + 1), AC$17*$D$10, ""))))</f>
        <v/>
      </c>
      <c r="AD18" s="21">
        <f>IF(AD$16="","",IF(AD$16=('Model_Assumptions'!$B$8+1), AD$17*$E$10,IF(AD$16&lt;='Model_Assumptions'!$C$8,AD$17*$C$10,IF(AD$16&gt;=('Model_Assumptions'!$C$8 + 1), AD$17*$D$10, ""))))</f>
        <v/>
      </c>
      <c r="AE18" s="21">
        <f>IF(AE$16="","",IF(AE$16=('Model_Assumptions'!$B$8+1), AE$17*$E$10,IF(AE$16&lt;='Model_Assumptions'!$C$8,AE$17*$C$10,IF(AE$16&gt;=('Model_Assumptions'!$C$8 + 1), AE$17*$D$10, ""))))</f>
        <v/>
      </c>
      <c r="AF18" s="21">
        <f>IF(AF$16="","",IF(AF$16=('Model_Assumptions'!$B$8+1), AF$17*$E$10,IF(AF$16&lt;='Model_Assumptions'!$C$8,AF$17*$C$10,IF(AF$16&gt;=('Model_Assumptions'!$C$8 + 1), AF$17*$D$10, ""))))</f>
        <v/>
      </c>
      <c r="AG18" s="21">
        <f>IF(AG$16="","",IF(AG$16=('Model_Assumptions'!$B$8+1), AG$17*$E$10,IF(AG$16&lt;='Model_Assumptions'!$C$8,AG$17*$C$10,IF(AG$16&gt;=('Model_Assumptions'!$C$8 + 1), AG$17*$D$10, ""))))</f>
        <v/>
      </c>
      <c r="AH18" s="21">
        <f>IF(AH$16="","",IF(AH$16=('Model_Assumptions'!$B$8+1), AH$17*$E$10,IF(AH$16&lt;='Model_Assumptions'!$C$8,AH$17*$C$10,IF(AH$16&gt;=('Model_Assumptions'!$C$8 + 1), AH$17*$D$10, ""))))</f>
        <v/>
      </c>
      <c r="AI18" s="21">
        <f>IF(AI$16="","",IF(AI$16=('Model_Assumptions'!$B$8+1), AI$17*$E$10,IF(AI$16&lt;='Model_Assumptions'!$C$8,AI$17*$C$10,IF(AI$16&gt;=('Model_Assumptions'!$C$8 + 1), AI$17*$D$10, ""))))</f>
        <v/>
      </c>
      <c r="AJ18" s="21">
        <f>IF(AJ$16="","",IF(AJ$16=('Model_Assumptions'!$B$8+1), AJ$17*$E$10,IF(AJ$16&lt;='Model_Assumptions'!$C$8,AJ$17*$C$10,IF(AJ$16&gt;=('Model_Assumptions'!$C$8 + 1), AJ$17*$D$10, ""))))</f>
        <v/>
      </c>
      <c r="AK18" s="21">
        <f>IF(AK$16="","",IF(AK$16=('Model_Assumptions'!$B$8+1), AK$17*$E$10,IF(AK$16&lt;='Model_Assumptions'!$C$8,AK$17*$C$10,IF(AK$16&gt;=('Model_Assumptions'!$C$8 + 1), AK$17*$D$10, ""))))</f>
        <v/>
      </c>
      <c r="AL18" s="21">
        <f>IF(AL$16="","",IF(AL$16=('Model_Assumptions'!$B$8+1), AL$17*$E$10,IF(AL$16&lt;='Model_Assumptions'!$C$8,AL$17*$C$10,IF(AL$16&gt;=('Model_Assumptions'!$C$8 + 1), AL$17*$D$10, ""))))</f>
        <v/>
      </c>
      <c r="AM18" s="21">
        <f>IF(AM$16="","",IF(AM$16=('Model_Assumptions'!$B$8+1), AM$17*$E$10,IF(AM$16&lt;='Model_Assumptions'!$C$8,AM$17*$C$10,IF(AM$16&gt;=('Model_Assumptions'!$C$8 + 1), AM$17*$D$10, ""))))</f>
        <v/>
      </c>
      <c r="AN18" s="21">
        <f>IF(AN$16="","",IF(AN$16=('Model_Assumptions'!$B$8+1), AN$17*$E$10,IF(AN$16&lt;='Model_Assumptions'!$C$8,AN$17*$C$10,IF(AN$16&gt;=('Model_Assumptions'!$C$8 + 1), AN$17*$D$10, ""))))</f>
        <v/>
      </c>
      <c r="AO18" s="21">
        <f>IF(AO$16="","",IF(AO$16=('Model_Assumptions'!$B$8+1), AO$17*$E$10,IF(AO$16&lt;='Model_Assumptions'!$C$8,AO$17*$C$10,IF(AO$16&gt;=('Model_Assumptions'!$C$8 + 1), AO$17*$D$10, ""))))</f>
        <v/>
      </c>
      <c r="AP18" s="21">
        <f>IF(AP$16="","",IF(AP$16=('Model_Assumptions'!$B$8+1), AP$17*$E$10,IF(AP$16&lt;='Model_Assumptions'!$C$8,AP$17*$C$10,IF(AP$16&gt;=('Model_Assumptions'!$C$8 + 1), AP$17*$D$10, ""))))</f>
        <v/>
      </c>
      <c r="AQ18" s="21">
        <f>IF(AQ$16="","",IF(AQ$16=('Model_Assumptions'!$B$8+1), AQ$17*$E$10,IF(AQ$16&lt;='Model_Assumptions'!$C$8,AQ$17*$C$10,IF(AQ$16&gt;=('Model_Assumptions'!$C$8 + 1), AQ$17*$D$10, ""))))</f>
        <v/>
      </c>
      <c r="AR18" s="21">
        <f>IF(AR$16="","",IF(AR$16=('Model_Assumptions'!$B$8+1), AR$17*$E$10,IF(AR$16&lt;='Model_Assumptions'!$C$8,AR$17*$C$10,IF(AR$16&gt;=('Model_Assumptions'!$C$8 + 1), AR$17*$D$10, ""))))</f>
        <v/>
      </c>
      <c r="AS18" s="21">
        <f>IF(AS$16="","",IF(AS$16=('Model_Assumptions'!$B$8+1), AS$17*$E$10,IF(AS$16&lt;='Model_Assumptions'!$C$8,AS$17*$C$10,IF(AS$16&gt;=('Model_Assumptions'!$C$8 + 1), AS$17*$D$10, ""))))</f>
        <v/>
      </c>
      <c r="AT18" s="21">
        <f>IF(AT$16="","",IF(AT$16=('Model_Assumptions'!$B$8+1), AT$17*$E$10,IF(AT$16&lt;='Model_Assumptions'!$C$8,AT$17*$C$10,IF(AT$16&gt;=('Model_Assumptions'!$C$8 + 1), AT$17*$D$10, ""))))</f>
        <v/>
      </c>
      <c r="AU18" s="21">
        <f>IF(AU$16="","",IF(AU$16=('Model_Assumptions'!$B$8+1), AU$17*$E$10,IF(AU$16&lt;='Model_Assumptions'!$C$8,AU$17*$C$10,IF(AU$16&gt;=('Model_Assumptions'!$C$8 + 1), AU$17*$D$10, ""))))</f>
        <v/>
      </c>
      <c r="AV18" s="21">
        <f>IF(AV$16="","",IF(AV$16=('Model_Assumptions'!$B$8+1), AV$17*$E$10,IF(AV$16&lt;='Model_Assumptions'!$C$8,AV$17*$C$10,IF(AV$16&gt;=('Model_Assumptions'!$C$8 + 1), AV$17*$D$10, ""))))</f>
        <v/>
      </c>
      <c r="AW18" s="21">
        <f>IF(AW$16="","",IF(AW$16=('Model_Assumptions'!$B$8+1), AW$17*$E$10,IF(AW$16&lt;='Model_Assumptions'!$C$8,AW$17*$C$10,IF(AW$16&gt;=('Model_Assumptions'!$C$8 + 1), AW$17*$D$10, ""))))</f>
        <v/>
      </c>
      <c r="AX18" s="21">
        <f>IF(AX$16="","",IF(AX$16=('Model_Assumptions'!$B$8+1), AX$17*$E$10,IF(AX$16&lt;='Model_Assumptions'!$C$8,AX$17*$C$10,IF(AX$16&gt;=('Model_Assumptions'!$C$8 + 1), AX$17*$D$10, ""))))</f>
        <v/>
      </c>
      <c r="AY18" s="21">
        <f>IF(AY$16="","",IF(AY$16=('Model_Assumptions'!$B$8+1), AY$17*$E$10,IF(AY$16&lt;='Model_Assumptions'!$C$8,AY$17*$C$10,IF(AY$16&gt;=('Model_Assumptions'!$C$8 + 1), AY$17*$D$10, ""))))</f>
        <v/>
      </c>
      <c r="AZ18" s="21">
        <f>IF(AZ$16="","",IF(AZ$16=('Model_Assumptions'!$B$8+1), AZ$17*$E$10,IF(AZ$16&lt;='Model_Assumptions'!$C$8,AZ$17*$C$10,IF(AZ$16&gt;=('Model_Assumptions'!$C$8 + 1), AZ$17*$D$10, ""))))</f>
        <v/>
      </c>
      <c r="BA18" s="21">
        <f>IF(BA$16="","",IF(BA$16=('Model_Assumptions'!$B$8+1), BA$17*$E$10,IF(BA$16&lt;='Model_Assumptions'!$C$8,BA$17*$C$10,IF(BA$16&gt;=('Model_Assumptions'!$C$8 + 1), BA$17*$D$10, ""))))</f>
        <v/>
      </c>
      <c r="BB18" s="21">
        <f>IF(BB$16="","",IF(BB$16=('Model_Assumptions'!$B$8+1), BB$17*$E$10,IF(BB$16&lt;='Model_Assumptions'!$C$8,BB$17*$C$10,IF(BB$16&gt;=('Model_Assumptions'!$C$8 + 1), BB$17*$D$10, ""))))</f>
        <v/>
      </c>
      <c r="BC18" s="21">
        <f>IF(BC$16="","",IF(BC$16=('Model_Assumptions'!$B$8+1), BC$17*$E$10,IF(BC$16&lt;='Model_Assumptions'!$C$8,BC$17*$C$10,IF(BC$16&gt;=('Model_Assumptions'!$C$8 + 1), BC$17*$D$10, ""))))</f>
        <v/>
      </c>
      <c r="BD18" s="21">
        <f>IF(BD$16="","",IF(BD$16=('Model_Assumptions'!$B$8+1), BD$17*$E$10,IF(BD$16&lt;='Model_Assumptions'!$C$8,BD$17*$C$10,IF(BD$16&gt;=('Model_Assumptions'!$C$8 + 1), BD$17*$D$10, ""))))</f>
        <v/>
      </c>
      <c r="BE18" s="21">
        <f>IF(BE$16="","",IF(BE$16=('Model_Assumptions'!$B$8+1), BE$17*$E$10,IF(BE$16&lt;='Model_Assumptions'!$C$8,BE$17*$C$10,IF(BE$16&gt;=('Model_Assumptions'!$C$8 + 1), BE$17*$D$10, ""))))</f>
        <v/>
      </c>
      <c r="BF18" s="21">
        <f>IF(BF$16="","",IF(BF$16=('Model_Assumptions'!$B$8+1), BF$17*$E$10,IF(BF$16&lt;='Model_Assumptions'!$C$8,BF$17*$C$10,IF(BF$16&gt;=('Model_Assumptions'!$C$8 + 1), BF$17*$D$10, ""))))</f>
        <v/>
      </c>
      <c r="BG18" s="21">
        <f>IF(BG$16="","",IF(BG$16=('Model_Assumptions'!$B$8+1), BG$17*$E$10,IF(BG$16&lt;='Model_Assumptions'!$C$8,BG$17*$C$10,IF(BG$16&gt;=('Model_Assumptions'!$C$8 + 1), BG$17*$D$10, ""))))</f>
        <v/>
      </c>
      <c r="BH18" s="21">
        <f>IF(BH$16="","",IF(BH$16=('Model_Assumptions'!$B$8+1), BH$17*$E$10,IF(BH$16&lt;='Model_Assumptions'!$C$8,BH$17*$C$10,IF(BH$16&gt;=('Model_Assumptions'!$C$8 + 1), BH$17*$D$10, ""))))</f>
        <v/>
      </c>
      <c r="BI18" s="21">
        <f>IF(BI$16="","",IF(BI$16=('Model_Assumptions'!$B$8+1), BI$17*$E$10,IF(BI$16&lt;='Model_Assumptions'!$C$8,BI$17*$C$10,IF(BI$16&gt;=('Model_Assumptions'!$C$8 + 1), BI$17*$D$10, ""))))</f>
        <v/>
      </c>
      <c r="BJ18" s="21">
        <f>IF(BJ$16="","",IF(BJ$16=('Model_Assumptions'!$B$8+1), BJ$17*$E$10,IF(BJ$16&lt;='Model_Assumptions'!$C$8,BJ$17*$C$10,IF(BJ$16&gt;=('Model_Assumptions'!$C$8 + 1), BJ$17*$D$10, ""))))</f>
        <v/>
      </c>
      <c r="BK18" s="21">
        <f>IF(BK$16="","",IF(BK$16=('Model_Assumptions'!$B$8+1), BK$17*$E$10,IF(BK$16&lt;='Model_Assumptions'!$C$8,BK$17*$C$10,IF(BK$16&gt;=('Model_Assumptions'!$C$8 + 1), BK$17*$D$10, ""))))</f>
        <v/>
      </c>
      <c r="BL18" s="21">
        <f>IF(BL$16="","",IF(BL$16=('Model_Assumptions'!$B$8+1), BL$17*$E$10,IF(BL$16&lt;='Model_Assumptions'!$C$8,BL$17*$C$10,IF(BL$16&gt;=('Model_Assumptions'!$C$8 + 1), BL$17*$D$10, ""))))</f>
        <v/>
      </c>
      <c r="BM18" s="21">
        <f>IF(BM$16="","",IF(BM$16=('Model_Assumptions'!$B$8+1), BM$17*$E$10,IF(BM$16&lt;='Model_Assumptions'!$C$8,BM$17*$C$10,IF(BM$16&gt;=('Model_Assumptions'!$C$8 + 1), BM$17*$D$10, ""))))</f>
        <v/>
      </c>
      <c r="BN18" s="21">
        <f>IF(BN$16="","",IF(BN$16=('Model_Assumptions'!$B$8+1), BN$17*$E$10,IF(BN$16&lt;='Model_Assumptions'!$C$8,BN$17*$C$10,IF(BN$16&gt;=('Model_Assumptions'!$C$8 + 1), BN$17*$D$10, ""))))</f>
        <v/>
      </c>
      <c r="BO18" s="21">
        <f>IF(BO$16="","",IF(BO$16=('Model_Assumptions'!$B$8+1), BO$17*$E$10,IF(BO$16&lt;='Model_Assumptions'!$C$8,BO$17*$C$10,IF(BO$16&gt;=('Model_Assumptions'!$C$8 + 1), BO$17*$D$10, ""))))</f>
        <v/>
      </c>
      <c r="BP18" s="21">
        <f>IF(BP$16="","",IF(BP$16=('Model_Assumptions'!$B$8+1), BP$17*$E$10,IF(BP$16&lt;='Model_Assumptions'!$C$8,BP$17*$C$10,IF(BP$16&gt;=('Model_Assumptions'!$C$8 + 1), BP$17*$D$10, ""))))</f>
        <v/>
      </c>
      <c r="BQ18" s="21">
        <f>IF(BQ$16="","",IF(BQ$16=('Model_Assumptions'!$B$8+1), BQ$17*$E$10,IF(BQ$16&lt;='Model_Assumptions'!$C$8,BQ$17*$C$10,IF(BQ$16&gt;=('Model_Assumptions'!$C$8 + 1), BQ$17*$D$10, ""))))</f>
        <v/>
      </c>
      <c r="BR18" s="21">
        <f>IF(BR$16="","",IF(BR$16=('Model_Assumptions'!$B$8+1), BR$17*$E$10,IF(BR$16&lt;='Model_Assumptions'!$C$8,BR$17*$C$10,IF(BR$16&gt;=('Model_Assumptions'!$C$8 + 1), BR$17*$D$10, ""))))</f>
        <v/>
      </c>
      <c r="BS18" s="21">
        <f>IF(BS$16="","",IF(BS$16=('Model_Assumptions'!$B$8+1), BS$17*$E$10,IF(BS$16&lt;='Model_Assumptions'!$C$8,BS$17*$C$10,IF(BS$16&gt;=('Model_Assumptions'!$C$8 + 1), BS$17*$D$10, ""))))</f>
        <v/>
      </c>
      <c r="BT18" s="21">
        <f>IF(BT$16="","",IF(BT$16=('Model_Assumptions'!$B$8+1), BT$17*$E$10,IF(BT$16&lt;='Model_Assumptions'!$C$8,BT$17*$C$10,IF(BT$16&gt;=('Model_Assumptions'!$C$8 + 1), BT$17*$D$10, ""))))</f>
        <v/>
      </c>
      <c r="BU18" s="21">
        <f>IF(BU$16="","",IF(BU$16=('Model_Assumptions'!$B$8+1), BU$17*$E$10,IF(BU$16&lt;='Model_Assumptions'!$C$8,BU$17*$C$10,IF(BU$16&gt;=('Model_Assumptions'!$C$8 + 1), BU$17*$D$10, ""))))</f>
        <v/>
      </c>
      <c r="BV18" s="21">
        <f>IF(BV$16="","",IF(BV$16=('Model_Assumptions'!$B$8+1), BV$17*$E$10,IF(BV$16&lt;='Model_Assumptions'!$C$8,BV$17*$C$10,IF(BV$16&gt;=('Model_Assumptions'!$C$8 + 1), BV$17*$D$10, ""))))</f>
        <v/>
      </c>
      <c r="BW18" s="21">
        <f>IF(BW$16="","",IF(BW$16=('Model_Assumptions'!$B$8+1), BW$17*$E$10,IF(BW$16&lt;='Model_Assumptions'!$C$8,BW$17*$C$10,IF(BW$16&gt;=('Model_Assumptions'!$C$8 + 1), BW$17*$D$10, ""))))</f>
        <v/>
      </c>
      <c r="BX18" s="21">
        <f>IF(BX$16="","",IF(BX$16=('Model_Assumptions'!$B$8+1), BX$17*$E$10,IF(BX$16&lt;='Model_Assumptions'!$C$8,BX$17*$C$10,IF(BX$16&gt;=('Model_Assumptions'!$C$8 + 1), BX$17*$D$10, ""))))</f>
        <v/>
      </c>
      <c r="BY18" s="21">
        <f>IF(BY$16="","",IF(BY$16=('Model_Assumptions'!$B$8+1), BY$17*$E$10,IF(BY$16&lt;='Model_Assumptions'!$C$8,BY$17*$C$10,IF(BY$16&gt;=('Model_Assumptions'!$C$8 + 1), BY$17*$D$10, ""))))</f>
        <v/>
      </c>
      <c r="BZ18" s="21">
        <f>IF(BZ$16="","",IF(BZ$16=('Model_Assumptions'!$B$8+1), BZ$17*$E$10,IF(BZ$16&lt;='Model_Assumptions'!$C$8,BZ$17*$C$10,IF(BZ$16&gt;=('Model_Assumptions'!$C$8 + 1), BZ$17*$D$10, ""))))</f>
        <v/>
      </c>
      <c r="CA18" s="21">
        <f>IF(CA$16="","",IF(CA$16=('Model_Assumptions'!$B$8+1), CA$17*$E$10,IF(CA$16&lt;='Model_Assumptions'!$C$8,CA$17*$C$10,IF(CA$16&gt;=('Model_Assumptions'!$C$8 + 1), CA$17*$D$10, ""))))</f>
        <v/>
      </c>
      <c r="CB18" s="21">
        <f>IF(CB$16="","",IF(CB$16=('Model_Assumptions'!$B$8+1), CB$17*$E$10,IF(CB$16&lt;='Model_Assumptions'!$C$8,CB$17*$C$10,IF(CB$16&gt;=('Model_Assumptions'!$C$8 + 1), CB$17*$D$10, ""))))</f>
        <v/>
      </c>
      <c r="CC18" s="21">
        <f>IF(CC$16="","",IF(CC$16=('Model_Assumptions'!$B$8+1), CC$17*$E$10,IF(CC$16&lt;='Model_Assumptions'!$C$8,CC$17*$C$10,IF(CC$16&gt;=('Model_Assumptions'!$C$8 + 1), CC$17*$D$10, ""))))</f>
        <v/>
      </c>
      <c r="CD18" s="21">
        <f>IF(CD$16="","",IF(CD$16=('Model_Assumptions'!$B$8+1), CD$17*$E$10,IF(CD$16&lt;='Model_Assumptions'!$C$8,CD$17*$C$10,IF(CD$16&gt;=('Model_Assumptions'!$C$8 + 1), CD$17*$D$10, ""))))</f>
        <v/>
      </c>
      <c r="CE18" s="21">
        <f>IF(CE$16="","",IF(CE$16=('Model_Assumptions'!$B$8+1), CE$17*$E$10,IF(CE$16&lt;='Model_Assumptions'!$C$8,CE$17*$C$10,IF(CE$16&gt;=('Model_Assumptions'!$C$8 + 1), CE$17*$D$10, ""))))</f>
        <v/>
      </c>
      <c r="CF18" s="21">
        <f>IF(CF$16="","",IF(CF$16=('Model_Assumptions'!$B$8+1), CF$17*$E$10,IF(CF$16&lt;='Model_Assumptions'!$C$8,CF$17*$C$10,IF(CF$16&gt;=('Model_Assumptions'!$C$8 + 1), CF$17*$D$10, ""))))</f>
        <v/>
      </c>
      <c r="CG18" s="21">
        <f>IF(CG$16="","",IF(CG$16=('Model_Assumptions'!$B$8+1), CG$17*$E$10,IF(CG$16&lt;='Model_Assumptions'!$C$8,CG$17*$C$10,IF(CG$16&gt;=('Model_Assumptions'!$C$8 + 1), CG$17*$D$10, ""))))</f>
        <v/>
      </c>
      <c r="CH18" s="21">
        <f>IF(CH$16="","",IF(CH$16=('Model_Assumptions'!$B$8+1), CH$17*$E$10,IF(CH$16&lt;='Model_Assumptions'!$C$8,CH$17*$C$10,IF(CH$16&gt;=('Model_Assumptions'!$C$8 + 1), CH$17*$D$10, ""))))</f>
        <v/>
      </c>
      <c r="CI18" s="21">
        <f>IF(CI$16="","",IF(CI$16=('Model_Assumptions'!$B$8+1), CI$17*$E$10,IF(CI$16&lt;='Model_Assumptions'!$C$8,CI$17*$C$10,IF(CI$16&gt;=('Model_Assumptions'!$C$8 + 1), CI$17*$D$10, ""))))</f>
        <v/>
      </c>
      <c r="CJ18" s="21">
        <f>IF(CJ$16="","",IF(CJ$16=('Model_Assumptions'!$B$8+1), CJ$17*$E$10,IF(CJ$16&lt;='Model_Assumptions'!$C$8,CJ$17*$C$10,IF(CJ$16&gt;=('Model_Assumptions'!$C$8 + 1), CJ$17*$D$10, ""))))</f>
        <v/>
      </c>
      <c r="CK18" s="21">
        <f>IF(CK$16="","",IF(CK$16=('Model_Assumptions'!$B$8+1), CK$17*$E$10,IF(CK$16&lt;='Model_Assumptions'!$C$8,CK$17*$C$10,IF(CK$16&gt;=('Model_Assumptions'!$C$8 + 1), CK$17*$D$10, ""))))</f>
        <v/>
      </c>
      <c r="CL18" s="21">
        <f>IF(CL$16="","",IF(CL$16=('Model_Assumptions'!$B$8+1), CL$17*$E$10,IF(CL$16&lt;='Model_Assumptions'!$C$8,CL$17*$C$10,IF(CL$16&gt;=('Model_Assumptions'!$C$8 + 1), CL$17*$D$10, ""))))</f>
        <v/>
      </c>
      <c r="CM18" s="22">
        <f>IF(CM$16="","",IF(CM$16=('Model_Assumptions'!$B$8+1), CM$17*$E$10,IF(CM$16&lt;='Model_Assumptions'!$C$8,CM$17*$C$10,IF(CM$16&gt;=('Model_Assumptions'!$C$8 + 1), CM$17*$D$10, ""))))</f>
        <v/>
      </c>
    </row>
    <row r="19">
      <c r="B19" s="19" t="inlineStr">
        <is>
          <t>EBITDA After Tax</t>
        </is>
      </c>
      <c r="C19" s="20" t="inlineStr"/>
      <c r="D19" s="21">
        <f>IF(D$16="","", IF(D$16=('Model_Assumptions'!$B$8+1), D$18*(1-$E$9),IF(D$16&lt;='Model_Assumptions'!$C$8,D$18*(1-$C$9),IF(D$16&gt;=('Model_Assumptions'!$C$8 + 1), D$18*(1-$D$9), ""))))</f>
        <v/>
      </c>
      <c r="E19" s="21">
        <f>IF(E$16="","", IF(E$16=('Model_Assumptions'!$B$8+1), E$18*(1-$E$9),IF(E$16&lt;='Model_Assumptions'!$C$8,E$18*(1-$C$9),IF(E$16&gt;=('Model_Assumptions'!$C$8 + 1), E$18*(1-$D$9), ""))))</f>
        <v/>
      </c>
      <c r="F19" s="21">
        <f>IF(F$16="","", IF(F$16=('Model_Assumptions'!$B$8+1), F$18*(1-$E$9),IF(F$16&lt;='Model_Assumptions'!$C$8,F$18*(1-$C$9),IF(F$16&gt;=('Model_Assumptions'!$C$8 + 1), F$18*(1-$D$9), ""))))</f>
        <v/>
      </c>
      <c r="G19" s="21">
        <f>IF(G$16="","", IF(G$16=('Model_Assumptions'!$B$8+1), G$18*(1-$E$9),IF(G$16&lt;='Model_Assumptions'!$C$8,G$18*(1-$C$9),IF(G$16&gt;=('Model_Assumptions'!$C$8 + 1), G$18*(1-$D$9), ""))))</f>
        <v/>
      </c>
      <c r="H19" s="21">
        <f>IF(H$16="","", IF(H$16=('Model_Assumptions'!$B$8+1), H$18*(1-$E$9),IF(H$16&lt;='Model_Assumptions'!$C$8,H$18*(1-$C$9),IF(H$16&gt;=('Model_Assumptions'!$C$8 + 1), H$18*(1-$D$9), ""))))</f>
        <v/>
      </c>
      <c r="I19" s="21">
        <f>IF(I$16="","", IF(I$16=('Model_Assumptions'!$B$8+1), I$18*(1-$E$9),IF(I$16&lt;='Model_Assumptions'!$C$8,I$18*(1-$C$9),IF(I$16&gt;=('Model_Assumptions'!$C$8 + 1), I$18*(1-$D$9), ""))))</f>
        <v/>
      </c>
      <c r="J19" s="21">
        <f>IF(J$16="","", IF(J$16=('Model_Assumptions'!$B$8+1), J$18*(1-$E$9),IF(J$16&lt;='Model_Assumptions'!$C$8,J$18*(1-$C$9),IF(J$16&gt;=('Model_Assumptions'!$C$8 + 1), J$18*(1-$D$9), ""))))</f>
        <v/>
      </c>
      <c r="K19" s="21">
        <f>IF(K$16="","", IF(K$16=('Model_Assumptions'!$B$8+1), K$18*(1-$E$9),IF(K$16&lt;='Model_Assumptions'!$C$8,K$18*(1-$C$9),IF(K$16&gt;=('Model_Assumptions'!$C$8 + 1), K$18*(1-$D$9), ""))))</f>
        <v/>
      </c>
      <c r="L19" s="21">
        <f>IF(L$16="","", IF(L$16=('Model_Assumptions'!$B$8+1), L$18*(1-$E$9),IF(L$16&lt;='Model_Assumptions'!$C$8,L$18*(1-$C$9),IF(L$16&gt;=('Model_Assumptions'!$C$8 + 1), L$18*(1-$D$9), ""))))</f>
        <v/>
      </c>
      <c r="M19" s="21">
        <f>IF(M$16="","", IF(M$16=('Model_Assumptions'!$B$8+1), M$18*(1-$E$9),IF(M$16&lt;='Model_Assumptions'!$C$8,M$18*(1-$C$9),IF(M$16&gt;=('Model_Assumptions'!$C$8 + 1), M$18*(1-$D$9), ""))))</f>
        <v/>
      </c>
      <c r="N19" s="21">
        <f>IF(N$16="","", IF(N$16=('Model_Assumptions'!$B$8+1), N$18*(1-$E$9),IF(N$16&lt;='Model_Assumptions'!$C$8,N$18*(1-$C$9),IF(N$16&gt;=('Model_Assumptions'!$C$8 + 1), N$18*(1-$D$9), ""))))</f>
        <v/>
      </c>
      <c r="O19" s="21">
        <f>IF(O$16="","", IF(O$16=('Model_Assumptions'!$B$8+1), O$18*(1-$E$9),IF(O$16&lt;='Model_Assumptions'!$C$8,O$18*(1-$C$9),IF(O$16&gt;=('Model_Assumptions'!$C$8 + 1), O$18*(1-$D$9), ""))))</f>
        <v/>
      </c>
      <c r="P19" s="21">
        <f>IF(P$16="","", IF(P$16=('Model_Assumptions'!$B$8+1), P$18*(1-$E$9),IF(P$16&lt;='Model_Assumptions'!$C$8,P$18*(1-$C$9),IF(P$16&gt;=('Model_Assumptions'!$C$8 + 1), P$18*(1-$D$9), ""))))</f>
        <v/>
      </c>
      <c r="Q19" s="21">
        <f>IF(Q$16="","", IF(Q$16=('Model_Assumptions'!$B$8+1), Q$18*(1-$E$9),IF(Q$16&lt;='Model_Assumptions'!$C$8,Q$18*(1-$C$9),IF(Q$16&gt;=('Model_Assumptions'!$C$8 + 1), Q$18*(1-$D$9), ""))))</f>
        <v/>
      </c>
      <c r="R19" s="21">
        <f>IF(R$16="","", IF(R$16=('Model_Assumptions'!$B$8+1), R$18*(1-$E$9),IF(R$16&lt;='Model_Assumptions'!$C$8,R$18*(1-$C$9),IF(R$16&gt;=('Model_Assumptions'!$C$8 + 1), R$18*(1-$D$9), ""))))</f>
        <v/>
      </c>
      <c r="S19" s="21">
        <f>IF(S$16="","", IF(S$16=('Model_Assumptions'!$B$8+1), S$18*(1-$E$9),IF(S$16&lt;='Model_Assumptions'!$C$8,S$18*(1-$C$9),IF(S$16&gt;=('Model_Assumptions'!$C$8 + 1), S$18*(1-$D$9), ""))))</f>
        <v/>
      </c>
      <c r="T19" s="21">
        <f>IF(T$16="","", IF(T$16=('Model_Assumptions'!$B$8+1), T$18*(1-$E$9),IF(T$16&lt;='Model_Assumptions'!$C$8,T$18*(1-$C$9),IF(T$16&gt;=('Model_Assumptions'!$C$8 + 1), T$18*(1-$D$9), ""))))</f>
        <v/>
      </c>
      <c r="U19" s="21">
        <f>IF(U$16="","", IF(U$16=('Model_Assumptions'!$B$8+1), U$18*(1-$E$9),IF(U$16&lt;='Model_Assumptions'!$C$8,U$18*(1-$C$9),IF(U$16&gt;=('Model_Assumptions'!$C$8 + 1), U$18*(1-$D$9), ""))))</f>
        <v/>
      </c>
      <c r="V19" s="21">
        <f>IF(V$16="","", IF(V$16=('Model_Assumptions'!$B$8+1), V$18*(1-$E$9),IF(V$16&lt;='Model_Assumptions'!$C$8,V$18*(1-$C$9),IF(V$16&gt;=('Model_Assumptions'!$C$8 + 1), V$18*(1-$D$9), ""))))</f>
        <v/>
      </c>
      <c r="W19" s="21">
        <f>IF(W$16="","", IF(W$16=('Model_Assumptions'!$B$8+1), W$18*(1-$E$9),IF(W$16&lt;='Model_Assumptions'!$C$8,W$18*(1-$C$9),IF(W$16&gt;=('Model_Assumptions'!$C$8 + 1), W$18*(1-$D$9), ""))))</f>
        <v/>
      </c>
      <c r="X19" s="21">
        <f>IF(X$16="","", IF(X$16=('Model_Assumptions'!$B$8+1), X$18*(1-$E$9),IF(X$16&lt;='Model_Assumptions'!$C$8,X$18*(1-$C$9),IF(X$16&gt;=('Model_Assumptions'!$C$8 + 1), X$18*(1-$D$9), ""))))</f>
        <v/>
      </c>
      <c r="Y19" s="21">
        <f>IF(Y$16="","", IF(Y$16=('Model_Assumptions'!$B$8+1), Y$18*(1-$E$9),IF(Y$16&lt;='Model_Assumptions'!$C$8,Y$18*(1-$C$9),IF(Y$16&gt;=('Model_Assumptions'!$C$8 + 1), Y$18*(1-$D$9), ""))))</f>
        <v/>
      </c>
      <c r="Z19" s="21">
        <f>IF(Z$16="","", IF(Z$16=('Model_Assumptions'!$B$8+1), Z$18*(1-$E$9),IF(Z$16&lt;='Model_Assumptions'!$C$8,Z$18*(1-$C$9),IF(Z$16&gt;=('Model_Assumptions'!$C$8 + 1), Z$18*(1-$D$9), ""))))</f>
        <v/>
      </c>
      <c r="AA19" s="21">
        <f>IF(AA$16="","", IF(AA$16=('Model_Assumptions'!$B$8+1), AA$18*(1-$E$9),IF(AA$16&lt;='Model_Assumptions'!$C$8,AA$18*(1-$C$9),IF(AA$16&gt;=('Model_Assumptions'!$C$8 + 1), AA$18*(1-$D$9), ""))))</f>
        <v/>
      </c>
      <c r="AB19" s="21">
        <f>IF(AB$16="","", IF(AB$16=('Model_Assumptions'!$B$8+1), AB$18*(1-$E$9),IF(AB$16&lt;='Model_Assumptions'!$C$8,AB$18*(1-$C$9),IF(AB$16&gt;=('Model_Assumptions'!$C$8 + 1), AB$18*(1-$D$9), ""))))</f>
        <v/>
      </c>
      <c r="AC19" s="21">
        <f>IF(AC$16="","", IF(AC$16=('Model_Assumptions'!$B$8+1), AC$18*(1-$E$9),IF(AC$16&lt;='Model_Assumptions'!$C$8,AC$18*(1-$C$9),IF(AC$16&gt;=('Model_Assumptions'!$C$8 + 1), AC$18*(1-$D$9), ""))))</f>
        <v/>
      </c>
      <c r="AD19" s="21">
        <f>IF(AD$16="","", IF(AD$16=('Model_Assumptions'!$B$8+1), AD$18*(1-$E$9),IF(AD$16&lt;='Model_Assumptions'!$C$8,AD$18*(1-$C$9),IF(AD$16&gt;=('Model_Assumptions'!$C$8 + 1), AD$18*(1-$D$9), ""))))</f>
        <v/>
      </c>
      <c r="AE19" s="21">
        <f>IF(AE$16="","", IF(AE$16=('Model_Assumptions'!$B$8+1), AE$18*(1-$E$9),IF(AE$16&lt;='Model_Assumptions'!$C$8,AE$18*(1-$C$9),IF(AE$16&gt;=('Model_Assumptions'!$C$8 + 1), AE$18*(1-$D$9), ""))))</f>
        <v/>
      </c>
      <c r="AF19" s="21">
        <f>IF(AF$16="","", IF(AF$16=('Model_Assumptions'!$B$8+1), AF$18*(1-$E$9),IF(AF$16&lt;='Model_Assumptions'!$C$8,AF$18*(1-$C$9),IF(AF$16&gt;=('Model_Assumptions'!$C$8 + 1), AF$18*(1-$D$9), ""))))</f>
        <v/>
      </c>
      <c r="AG19" s="21">
        <f>IF(AG$16="","", IF(AG$16=('Model_Assumptions'!$B$8+1), AG$18*(1-$E$9),IF(AG$16&lt;='Model_Assumptions'!$C$8,AG$18*(1-$C$9),IF(AG$16&gt;=('Model_Assumptions'!$C$8 + 1), AG$18*(1-$D$9), ""))))</f>
        <v/>
      </c>
      <c r="AH19" s="21">
        <f>IF(AH$16="","", IF(AH$16=('Model_Assumptions'!$B$8+1), AH$18*(1-$E$9),IF(AH$16&lt;='Model_Assumptions'!$C$8,AH$18*(1-$C$9),IF(AH$16&gt;=('Model_Assumptions'!$C$8 + 1), AH$18*(1-$D$9), ""))))</f>
        <v/>
      </c>
      <c r="AI19" s="21">
        <f>IF(AI$16="","", IF(AI$16=('Model_Assumptions'!$B$8+1), AI$18*(1-$E$9),IF(AI$16&lt;='Model_Assumptions'!$C$8,AI$18*(1-$C$9),IF(AI$16&gt;=('Model_Assumptions'!$C$8 + 1), AI$18*(1-$D$9), ""))))</f>
        <v/>
      </c>
      <c r="AJ19" s="21">
        <f>IF(AJ$16="","", IF(AJ$16=('Model_Assumptions'!$B$8+1), AJ$18*(1-$E$9),IF(AJ$16&lt;='Model_Assumptions'!$C$8,AJ$18*(1-$C$9),IF(AJ$16&gt;=('Model_Assumptions'!$C$8 + 1), AJ$18*(1-$D$9), ""))))</f>
        <v/>
      </c>
      <c r="AK19" s="21">
        <f>IF(AK$16="","", IF(AK$16=('Model_Assumptions'!$B$8+1), AK$18*(1-$E$9),IF(AK$16&lt;='Model_Assumptions'!$C$8,AK$18*(1-$C$9),IF(AK$16&gt;=('Model_Assumptions'!$C$8 + 1), AK$18*(1-$D$9), ""))))</f>
        <v/>
      </c>
      <c r="AL19" s="21">
        <f>IF(AL$16="","", IF(AL$16=('Model_Assumptions'!$B$8+1), AL$18*(1-$E$9),IF(AL$16&lt;='Model_Assumptions'!$C$8,AL$18*(1-$C$9),IF(AL$16&gt;=('Model_Assumptions'!$C$8 + 1), AL$18*(1-$D$9), ""))))</f>
        <v/>
      </c>
      <c r="AM19" s="21">
        <f>IF(AM$16="","", IF(AM$16=('Model_Assumptions'!$B$8+1), AM$18*(1-$E$9),IF(AM$16&lt;='Model_Assumptions'!$C$8,AM$18*(1-$C$9),IF(AM$16&gt;=('Model_Assumptions'!$C$8 + 1), AM$18*(1-$D$9), ""))))</f>
        <v/>
      </c>
      <c r="AN19" s="21">
        <f>IF(AN$16="","", IF(AN$16=('Model_Assumptions'!$B$8+1), AN$18*(1-$E$9),IF(AN$16&lt;='Model_Assumptions'!$C$8,AN$18*(1-$C$9),IF(AN$16&gt;=('Model_Assumptions'!$C$8 + 1), AN$18*(1-$D$9), ""))))</f>
        <v/>
      </c>
      <c r="AO19" s="21">
        <f>IF(AO$16="","", IF(AO$16=('Model_Assumptions'!$B$8+1), AO$18*(1-$E$9),IF(AO$16&lt;='Model_Assumptions'!$C$8,AO$18*(1-$C$9),IF(AO$16&gt;=('Model_Assumptions'!$C$8 + 1), AO$18*(1-$D$9), ""))))</f>
        <v/>
      </c>
      <c r="AP19" s="21">
        <f>IF(AP$16="","", IF(AP$16=('Model_Assumptions'!$B$8+1), AP$18*(1-$E$9),IF(AP$16&lt;='Model_Assumptions'!$C$8,AP$18*(1-$C$9),IF(AP$16&gt;=('Model_Assumptions'!$C$8 + 1), AP$18*(1-$D$9), ""))))</f>
        <v/>
      </c>
      <c r="AQ19" s="21">
        <f>IF(AQ$16="","", IF(AQ$16=('Model_Assumptions'!$B$8+1), AQ$18*(1-$E$9),IF(AQ$16&lt;='Model_Assumptions'!$C$8,AQ$18*(1-$C$9),IF(AQ$16&gt;=('Model_Assumptions'!$C$8 + 1), AQ$18*(1-$D$9), ""))))</f>
        <v/>
      </c>
      <c r="AR19" s="21">
        <f>IF(AR$16="","", IF(AR$16=('Model_Assumptions'!$B$8+1), AR$18*(1-$E$9),IF(AR$16&lt;='Model_Assumptions'!$C$8,AR$18*(1-$C$9),IF(AR$16&gt;=('Model_Assumptions'!$C$8 + 1), AR$18*(1-$D$9), ""))))</f>
        <v/>
      </c>
      <c r="AS19" s="21">
        <f>IF(AS$16="","", IF(AS$16=('Model_Assumptions'!$B$8+1), AS$18*(1-$E$9),IF(AS$16&lt;='Model_Assumptions'!$C$8,AS$18*(1-$C$9),IF(AS$16&gt;=('Model_Assumptions'!$C$8 + 1), AS$18*(1-$D$9), ""))))</f>
        <v/>
      </c>
      <c r="AT19" s="21">
        <f>IF(AT$16="","", IF(AT$16=('Model_Assumptions'!$B$8+1), AT$18*(1-$E$9),IF(AT$16&lt;='Model_Assumptions'!$C$8,AT$18*(1-$C$9),IF(AT$16&gt;=('Model_Assumptions'!$C$8 + 1), AT$18*(1-$D$9), ""))))</f>
        <v/>
      </c>
      <c r="AU19" s="21">
        <f>IF(AU$16="","", IF(AU$16=('Model_Assumptions'!$B$8+1), AU$18*(1-$E$9),IF(AU$16&lt;='Model_Assumptions'!$C$8,AU$18*(1-$C$9),IF(AU$16&gt;=('Model_Assumptions'!$C$8 + 1), AU$18*(1-$D$9), ""))))</f>
        <v/>
      </c>
      <c r="AV19" s="21">
        <f>IF(AV$16="","", IF(AV$16=('Model_Assumptions'!$B$8+1), AV$18*(1-$E$9),IF(AV$16&lt;='Model_Assumptions'!$C$8,AV$18*(1-$C$9),IF(AV$16&gt;=('Model_Assumptions'!$C$8 + 1), AV$18*(1-$D$9), ""))))</f>
        <v/>
      </c>
      <c r="AW19" s="21">
        <f>IF(AW$16="","", IF(AW$16=('Model_Assumptions'!$B$8+1), AW$18*(1-$E$9),IF(AW$16&lt;='Model_Assumptions'!$C$8,AW$18*(1-$C$9),IF(AW$16&gt;=('Model_Assumptions'!$C$8 + 1), AW$18*(1-$D$9), ""))))</f>
        <v/>
      </c>
      <c r="AX19" s="21">
        <f>IF(AX$16="","", IF(AX$16=('Model_Assumptions'!$B$8+1), AX$18*(1-$E$9),IF(AX$16&lt;='Model_Assumptions'!$C$8,AX$18*(1-$C$9),IF(AX$16&gt;=('Model_Assumptions'!$C$8 + 1), AX$18*(1-$D$9), ""))))</f>
        <v/>
      </c>
      <c r="AY19" s="21">
        <f>IF(AY$16="","", IF(AY$16=('Model_Assumptions'!$B$8+1), AY$18*(1-$E$9),IF(AY$16&lt;='Model_Assumptions'!$C$8,AY$18*(1-$C$9),IF(AY$16&gt;=('Model_Assumptions'!$C$8 + 1), AY$18*(1-$D$9), ""))))</f>
        <v/>
      </c>
      <c r="AZ19" s="21">
        <f>IF(AZ$16="","", IF(AZ$16=('Model_Assumptions'!$B$8+1), AZ$18*(1-$E$9),IF(AZ$16&lt;='Model_Assumptions'!$C$8,AZ$18*(1-$C$9),IF(AZ$16&gt;=('Model_Assumptions'!$C$8 + 1), AZ$18*(1-$D$9), ""))))</f>
        <v/>
      </c>
      <c r="BA19" s="21">
        <f>IF(BA$16="","", IF(BA$16=('Model_Assumptions'!$B$8+1), BA$18*(1-$E$9),IF(BA$16&lt;='Model_Assumptions'!$C$8,BA$18*(1-$C$9),IF(BA$16&gt;=('Model_Assumptions'!$C$8 + 1), BA$18*(1-$D$9), ""))))</f>
        <v/>
      </c>
      <c r="BB19" s="21">
        <f>IF(BB$16="","", IF(BB$16=('Model_Assumptions'!$B$8+1), BB$18*(1-$E$9),IF(BB$16&lt;='Model_Assumptions'!$C$8,BB$18*(1-$C$9),IF(BB$16&gt;=('Model_Assumptions'!$C$8 + 1), BB$18*(1-$D$9), ""))))</f>
        <v/>
      </c>
      <c r="BC19" s="21">
        <f>IF(BC$16="","", IF(BC$16=('Model_Assumptions'!$B$8+1), BC$18*(1-$E$9),IF(BC$16&lt;='Model_Assumptions'!$C$8,BC$18*(1-$C$9),IF(BC$16&gt;=('Model_Assumptions'!$C$8 + 1), BC$18*(1-$D$9), ""))))</f>
        <v/>
      </c>
      <c r="BD19" s="21">
        <f>IF(BD$16="","", IF(BD$16=('Model_Assumptions'!$B$8+1), BD$18*(1-$E$9),IF(BD$16&lt;='Model_Assumptions'!$C$8,BD$18*(1-$C$9),IF(BD$16&gt;=('Model_Assumptions'!$C$8 + 1), BD$18*(1-$D$9), ""))))</f>
        <v/>
      </c>
      <c r="BE19" s="21">
        <f>IF(BE$16="","", IF(BE$16=('Model_Assumptions'!$B$8+1), BE$18*(1-$E$9),IF(BE$16&lt;='Model_Assumptions'!$C$8,BE$18*(1-$C$9),IF(BE$16&gt;=('Model_Assumptions'!$C$8 + 1), BE$18*(1-$D$9), ""))))</f>
        <v/>
      </c>
      <c r="BF19" s="21">
        <f>IF(BF$16="","", IF(BF$16=('Model_Assumptions'!$B$8+1), BF$18*(1-$E$9),IF(BF$16&lt;='Model_Assumptions'!$C$8,BF$18*(1-$C$9),IF(BF$16&gt;=('Model_Assumptions'!$C$8 + 1), BF$18*(1-$D$9), ""))))</f>
        <v/>
      </c>
      <c r="BG19" s="21">
        <f>IF(BG$16="","", IF(BG$16=('Model_Assumptions'!$B$8+1), BG$18*(1-$E$9),IF(BG$16&lt;='Model_Assumptions'!$C$8,BG$18*(1-$C$9),IF(BG$16&gt;=('Model_Assumptions'!$C$8 + 1), BG$18*(1-$D$9), ""))))</f>
        <v/>
      </c>
      <c r="BH19" s="21">
        <f>IF(BH$16="","", IF(BH$16=('Model_Assumptions'!$B$8+1), BH$18*(1-$E$9),IF(BH$16&lt;='Model_Assumptions'!$C$8,BH$18*(1-$C$9),IF(BH$16&gt;=('Model_Assumptions'!$C$8 + 1), BH$18*(1-$D$9), ""))))</f>
        <v/>
      </c>
      <c r="BI19" s="21">
        <f>IF(BI$16="","", IF(BI$16=('Model_Assumptions'!$B$8+1), BI$18*(1-$E$9),IF(BI$16&lt;='Model_Assumptions'!$C$8,BI$18*(1-$C$9),IF(BI$16&gt;=('Model_Assumptions'!$C$8 + 1), BI$18*(1-$D$9), ""))))</f>
        <v/>
      </c>
      <c r="BJ19" s="21">
        <f>IF(BJ$16="","", IF(BJ$16=('Model_Assumptions'!$B$8+1), BJ$18*(1-$E$9),IF(BJ$16&lt;='Model_Assumptions'!$C$8,BJ$18*(1-$C$9),IF(BJ$16&gt;=('Model_Assumptions'!$C$8 + 1), BJ$18*(1-$D$9), ""))))</f>
        <v/>
      </c>
      <c r="BK19" s="21">
        <f>IF(BK$16="","", IF(BK$16=('Model_Assumptions'!$B$8+1), BK$18*(1-$E$9),IF(BK$16&lt;='Model_Assumptions'!$C$8,BK$18*(1-$C$9),IF(BK$16&gt;=('Model_Assumptions'!$C$8 + 1), BK$18*(1-$D$9), ""))))</f>
        <v/>
      </c>
      <c r="BL19" s="21">
        <f>IF(BL$16="","", IF(BL$16=('Model_Assumptions'!$B$8+1), BL$18*(1-$E$9),IF(BL$16&lt;='Model_Assumptions'!$C$8,BL$18*(1-$C$9),IF(BL$16&gt;=('Model_Assumptions'!$C$8 + 1), BL$18*(1-$D$9), ""))))</f>
        <v/>
      </c>
      <c r="BM19" s="21">
        <f>IF(BM$16="","", IF(BM$16=('Model_Assumptions'!$B$8+1), BM$18*(1-$E$9),IF(BM$16&lt;='Model_Assumptions'!$C$8,BM$18*(1-$C$9),IF(BM$16&gt;=('Model_Assumptions'!$C$8 + 1), BM$18*(1-$D$9), ""))))</f>
        <v/>
      </c>
      <c r="BN19" s="21">
        <f>IF(BN$16="","", IF(BN$16=('Model_Assumptions'!$B$8+1), BN$18*(1-$E$9),IF(BN$16&lt;='Model_Assumptions'!$C$8,BN$18*(1-$C$9),IF(BN$16&gt;=('Model_Assumptions'!$C$8 + 1), BN$18*(1-$D$9), ""))))</f>
        <v/>
      </c>
      <c r="BO19" s="21">
        <f>IF(BO$16="","", IF(BO$16=('Model_Assumptions'!$B$8+1), BO$18*(1-$E$9),IF(BO$16&lt;='Model_Assumptions'!$C$8,BO$18*(1-$C$9),IF(BO$16&gt;=('Model_Assumptions'!$C$8 + 1), BO$18*(1-$D$9), ""))))</f>
        <v/>
      </c>
      <c r="BP19" s="21">
        <f>IF(BP$16="","", IF(BP$16=('Model_Assumptions'!$B$8+1), BP$18*(1-$E$9),IF(BP$16&lt;='Model_Assumptions'!$C$8,BP$18*(1-$C$9),IF(BP$16&gt;=('Model_Assumptions'!$C$8 + 1), BP$18*(1-$D$9), ""))))</f>
        <v/>
      </c>
      <c r="BQ19" s="21">
        <f>IF(BQ$16="","", IF(BQ$16=('Model_Assumptions'!$B$8+1), BQ$18*(1-$E$9),IF(BQ$16&lt;='Model_Assumptions'!$C$8,BQ$18*(1-$C$9),IF(BQ$16&gt;=('Model_Assumptions'!$C$8 + 1), BQ$18*(1-$D$9), ""))))</f>
        <v/>
      </c>
      <c r="BR19" s="21">
        <f>IF(BR$16="","", IF(BR$16=('Model_Assumptions'!$B$8+1), BR$18*(1-$E$9),IF(BR$16&lt;='Model_Assumptions'!$C$8,BR$18*(1-$C$9),IF(BR$16&gt;=('Model_Assumptions'!$C$8 + 1), BR$18*(1-$D$9), ""))))</f>
        <v/>
      </c>
      <c r="BS19" s="21">
        <f>IF(BS$16="","", IF(BS$16=('Model_Assumptions'!$B$8+1), BS$18*(1-$E$9),IF(BS$16&lt;='Model_Assumptions'!$C$8,BS$18*(1-$C$9),IF(BS$16&gt;=('Model_Assumptions'!$C$8 + 1), BS$18*(1-$D$9), ""))))</f>
        <v/>
      </c>
      <c r="BT19" s="21">
        <f>IF(BT$16="","", IF(BT$16=('Model_Assumptions'!$B$8+1), BT$18*(1-$E$9),IF(BT$16&lt;='Model_Assumptions'!$C$8,BT$18*(1-$C$9),IF(BT$16&gt;=('Model_Assumptions'!$C$8 + 1), BT$18*(1-$D$9), ""))))</f>
        <v/>
      </c>
      <c r="BU19" s="21">
        <f>IF(BU$16="","", IF(BU$16=('Model_Assumptions'!$B$8+1), BU$18*(1-$E$9),IF(BU$16&lt;='Model_Assumptions'!$C$8,BU$18*(1-$C$9),IF(BU$16&gt;=('Model_Assumptions'!$C$8 + 1), BU$18*(1-$D$9), ""))))</f>
        <v/>
      </c>
      <c r="BV19" s="21">
        <f>IF(BV$16="","", IF(BV$16=('Model_Assumptions'!$B$8+1), BV$18*(1-$E$9),IF(BV$16&lt;='Model_Assumptions'!$C$8,BV$18*(1-$C$9),IF(BV$16&gt;=('Model_Assumptions'!$C$8 + 1), BV$18*(1-$D$9), ""))))</f>
        <v/>
      </c>
      <c r="BW19" s="21">
        <f>IF(BW$16="","", IF(BW$16=('Model_Assumptions'!$B$8+1), BW$18*(1-$E$9),IF(BW$16&lt;='Model_Assumptions'!$C$8,BW$18*(1-$C$9),IF(BW$16&gt;=('Model_Assumptions'!$C$8 + 1), BW$18*(1-$D$9), ""))))</f>
        <v/>
      </c>
      <c r="BX19" s="21">
        <f>IF(BX$16="","", IF(BX$16=('Model_Assumptions'!$B$8+1), BX$18*(1-$E$9),IF(BX$16&lt;='Model_Assumptions'!$C$8,BX$18*(1-$C$9),IF(BX$16&gt;=('Model_Assumptions'!$C$8 + 1), BX$18*(1-$D$9), ""))))</f>
        <v/>
      </c>
      <c r="BY19" s="21">
        <f>IF(BY$16="","", IF(BY$16=('Model_Assumptions'!$B$8+1), BY$18*(1-$E$9),IF(BY$16&lt;='Model_Assumptions'!$C$8,BY$18*(1-$C$9),IF(BY$16&gt;=('Model_Assumptions'!$C$8 + 1), BY$18*(1-$D$9), ""))))</f>
        <v/>
      </c>
      <c r="BZ19" s="21">
        <f>IF(BZ$16="","", IF(BZ$16=('Model_Assumptions'!$B$8+1), BZ$18*(1-$E$9),IF(BZ$16&lt;='Model_Assumptions'!$C$8,BZ$18*(1-$C$9),IF(BZ$16&gt;=('Model_Assumptions'!$C$8 + 1), BZ$18*(1-$D$9), ""))))</f>
        <v/>
      </c>
      <c r="CA19" s="21">
        <f>IF(CA$16="","", IF(CA$16=('Model_Assumptions'!$B$8+1), CA$18*(1-$E$9),IF(CA$16&lt;='Model_Assumptions'!$C$8,CA$18*(1-$C$9),IF(CA$16&gt;=('Model_Assumptions'!$C$8 + 1), CA$18*(1-$D$9), ""))))</f>
        <v/>
      </c>
      <c r="CB19" s="21">
        <f>IF(CB$16="","", IF(CB$16=('Model_Assumptions'!$B$8+1), CB$18*(1-$E$9),IF(CB$16&lt;='Model_Assumptions'!$C$8,CB$18*(1-$C$9),IF(CB$16&gt;=('Model_Assumptions'!$C$8 + 1), CB$18*(1-$D$9), ""))))</f>
        <v/>
      </c>
      <c r="CC19" s="21">
        <f>IF(CC$16="","", IF(CC$16=('Model_Assumptions'!$B$8+1), CC$18*(1-$E$9),IF(CC$16&lt;='Model_Assumptions'!$C$8,CC$18*(1-$C$9),IF(CC$16&gt;=('Model_Assumptions'!$C$8 + 1), CC$18*(1-$D$9), ""))))</f>
        <v/>
      </c>
      <c r="CD19" s="21">
        <f>IF(CD$16="","", IF(CD$16=('Model_Assumptions'!$B$8+1), CD$18*(1-$E$9),IF(CD$16&lt;='Model_Assumptions'!$C$8,CD$18*(1-$C$9),IF(CD$16&gt;=('Model_Assumptions'!$C$8 + 1), CD$18*(1-$D$9), ""))))</f>
        <v/>
      </c>
      <c r="CE19" s="21">
        <f>IF(CE$16="","", IF(CE$16=('Model_Assumptions'!$B$8+1), CE$18*(1-$E$9),IF(CE$16&lt;='Model_Assumptions'!$C$8,CE$18*(1-$C$9),IF(CE$16&gt;=('Model_Assumptions'!$C$8 + 1), CE$18*(1-$D$9), ""))))</f>
        <v/>
      </c>
      <c r="CF19" s="21">
        <f>IF(CF$16="","", IF(CF$16=('Model_Assumptions'!$B$8+1), CF$18*(1-$E$9),IF(CF$16&lt;='Model_Assumptions'!$C$8,CF$18*(1-$C$9),IF(CF$16&gt;=('Model_Assumptions'!$C$8 + 1), CF$18*(1-$D$9), ""))))</f>
        <v/>
      </c>
      <c r="CG19" s="21">
        <f>IF(CG$16="","", IF(CG$16=('Model_Assumptions'!$B$8+1), CG$18*(1-$E$9),IF(CG$16&lt;='Model_Assumptions'!$C$8,CG$18*(1-$C$9),IF(CG$16&gt;=('Model_Assumptions'!$C$8 + 1), CG$18*(1-$D$9), ""))))</f>
        <v/>
      </c>
      <c r="CH19" s="21">
        <f>IF(CH$16="","", IF(CH$16=('Model_Assumptions'!$B$8+1), CH$18*(1-$E$9),IF(CH$16&lt;='Model_Assumptions'!$C$8,CH$18*(1-$C$9),IF(CH$16&gt;=('Model_Assumptions'!$C$8 + 1), CH$18*(1-$D$9), ""))))</f>
        <v/>
      </c>
      <c r="CI19" s="21">
        <f>IF(CI$16="","", IF(CI$16=('Model_Assumptions'!$B$8+1), CI$18*(1-$E$9),IF(CI$16&lt;='Model_Assumptions'!$C$8,CI$18*(1-$C$9),IF(CI$16&gt;=('Model_Assumptions'!$C$8 + 1), CI$18*(1-$D$9), ""))))</f>
        <v/>
      </c>
      <c r="CJ19" s="21">
        <f>IF(CJ$16="","", IF(CJ$16=('Model_Assumptions'!$B$8+1), CJ$18*(1-$E$9),IF(CJ$16&lt;='Model_Assumptions'!$C$8,CJ$18*(1-$C$9),IF(CJ$16&gt;=('Model_Assumptions'!$C$8 + 1), CJ$18*(1-$D$9), ""))))</f>
        <v/>
      </c>
      <c r="CK19" s="21">
        <f>IF(CK$16="","", IF(CK$16=('Model_Assumptions'!$B$8+1), CK$18*(1-$E$9),IF(CK$16&lt;='Model_Assumptions'!$C$8,CK$18*(1-$C$9),IF(CK$16&gt;=('Model_Assumptions'!$C$8 + 1), CK$18*(1-$D$9), ""))))</f>
        <v/>
      </c>
      <c r="CL19" s="21">
        <f>IF(CL$16="","", IF(CL$16=('Model_Assumptions'!$B$8+1), CL$18*(1-$E$9),IF(CL$16&lt;='Model_Assumptions'!$C$8,CL$18*(1-$C$9),IF(CL$16&gt;=('Model_Assumptions'!$C$8 + 1), CL$18*(1-$D$9), ""))))</f>
        <v/>
      </c>
      <c r="CM19" s="22">
        <f>IF(CM$16="","", IF(CM$16=('Model_Assumptions'!$B$8+1), CM$18*(1-$E$9),IF(CM$16&lt;='Model_Assumptions'!$C$8,CM$18*(1-$C$9),IF(CM$16&gt;=('Model_Assumptions'!$C$8 + 1), CM$18*(1-$D$9), ""))))</f>
        <v/>
      </c>
    </row>
    <row r="20">
      <c r="B20" s="19" t="inlineStr">
        <is>
          <t>Depreciation</t>
        </is>
      </c>
      <c r="C20" s="20" t="inlineStr"/>
      <c r="D20" s="21">
        <f>IF(D$16="","",IF(D$16=('Model_Assumptions'!$B$8+1), D$17*$E$11,IF(D$16&lt;='Model_Assumptions'!$C$8,D$17*$C$11,IF(D$16&gt;=('Model_Assumptions'!$C$8 + 1), D$17*$D$11, ""))))</f>
        <v/>
      </c>
      <c r="E20" s="21">
        <f>IF(E$16="","",IF(E$16=('Model_Assumptions'!$B$8+1), E$17*$E$11,IF(E$16&lt;='Model_Assumptions'!$C$8,E$17*$C$11,IF(E$16&gt;=('Model_Assumptions'!$C$8 + 1), E$17*$D$11, ""))))</f>
        <v/>
      </c>
      <c r="F20" s="21">
        <f>IF(F$16="","",IF(F$16=('Model_Assumptions'!$B$8+1), F$17*$E$11,IF(F$16&lt;='Model_Assumptions'!$C$8,F$17*$C$11,IF(F$16&gt;=('Model_Assumptions'!$C$8 + 1), F$17*$D$11, ""))))</f>
        <v/>
      </c>
      <c r="G20" s="21">
        <f>IF(G$16="","",IF(G$16=('Model_Assumptions'!$B$8+1), G$17*$E$11,IF(G$16&lt;='Model_Assumptions'!$C$8,G$17*$C$11,IF(G$16&gt;=('Model_Assumptions'!$C$8 + 1), G$17*$D$11, ""))))</f>
        <v/>
      </c>
      <c r="H20" s="21">
        <f>IF(H$16="","",IF(H$16=('Model_Assumptions'!$B$8+1), H$17*$E$11,IF(H$16&lt;='Model_Assumptions'!$C$8,H$17*$C$11,IF(H$16&gt;=('Model_Assumptions'!$C$8 + 1), H$17*$D$11, ""))))</f>
        <v/>
      </c>
      <c r="I20" s="21">
        <f>IF(I$16="","",IF(I$16=('Model_Assumptions'!$B$8+1), I$17*$E$11,IF(I$16&lt;='Model_Assumptions'!$C$8,I$17*$C$11,IF(I$16&gt;=('Model_Assumptions'!$C$8 + 1), I$17*$D$11, ""))))</f>
        <v/>
      </c>
      <c r="J20" s="21">
        <f>IF(J$16="","",IF(J$16=('Model_Assumptions'!$B$8+1), J$17*$E$11,IF(J$16&lt;='Model_Assumptions'!$C$8,J$17*$C$11,IF(J$16&gt;=('Model_Assumptions'!$C$8 + 1), J$17*$D$11, ""))))</f>
        <v/>
      </c>
      <c r="K20" s="21">
        <f>IF(K$16="","",IF(K$16=('Model_Assumptions'!$B$8+1), K$17*$E$11,IF(K$16&lt;='Model_Assumptions'!$C$8,K$17*$C$11,IF(K$16&gt;=('Model_Assumptions'!$C$8 + 1), K$17*$D$11, ""))))</f>
        <v/>
      </c>
      <c r="L20" s="21">
        <f>IF(L$16="","",IF(L$16=('Model_Assumptions'!$B$8+1), L$17*$E$11,IF(L$16&lt;='Model_Assumptions'!$C$8,L$17*$C$11,IF(L$16&gt;=('Model_Assumptions'!$C$8 + 1), L$17*$D$11, ""))))</f>
        <v/>
      </c>
      <c r="M20" s="21">
        <f>IF(M$16="","",IF(M$16=('Model_Assumptions'!$B$8+1), M$17*$E$11,IF(M$16&lt;='Model_Assumptions'!$C$8,M$17*$C$11,IF(M$16&gt;=('Model_Assumptions'!$C$8 + 1), M$17*$D$11, ""))))</f>
        <v/>
      </c>
      <c r="N20" s="21">
        <f>IF(N$16="","",IF(N$16=('Model_Assumptions'!$B$8+1), N$17*$E$11,IF(N$16&lt;='Model_Assumptions'!$C$8,N$17*$C$11,IF(N$16&gt;=('Model_Assumptions'!$C$8 + 1), N$17*$D$11, ""))))</f>
        <v/>
      </c>
      <c r="O20" s="21">
        <f>IF(O$16="","",IF(O$16=('Model_Assumptions'!$B$8+1), O$17*$E$11,IF(O$16&lt;='Model_Assumptions'!$C$8,O$17*$C$11,IF(O$16&gt;=('Model_Assumptions'!$C$8 + 1), O$17*$D$11, ""))))</f>
        <v/>
      </c>
      <c r="P20" s="21">
        <f>IF(P$16="","",IF(P$16=('Model_Assumptions'!$B$8+1), P$17*$E$11,IF(P$16&lt;='Model_Assumptions'!$C$8,P$17*$C$11,IF(P$16&gt;=('Model_Assumptions'!$C$8 + 1), P$17*$D$11, ""))))</f>
        <v/>
      </c>
      <c r="Q20" s="21">
        <f>IF(Q$16="","",IF(Q$16=('Model_Assumptions'!$B$8+1), Q$17*$E$11,IF(Q$16&lt;='Model_Assumptions'!$C$8,Q$17*$C$11,IF(Q$16&gt;=('Model_Assumptions'!$C$8 + 1), Q$17*$D$11, ""))))</f>
        <v/>
      </c>
      <c r="R20" s="21">
        <f>IF(R$16="","",IF(R$16=('Model_Assumptions'!$B$8+1), R$17*$E$11,IF(R$16&lt;='Model_Assumptions'!$C$8,R$17*$C$11,IF(R$16&gt;=('Model_Assumptions'!$C$8 + 1), R$17*$D$11, ""))))</f>
        <v/>
      </c>
      <c r="S20" s="21">
        <f>IF(S$16="","",IF(S$16=('Model_Assumptions'!$B$8+1), S$17*$E$11,IF(S$16&lt;='Model_Assumptions'!$C$8,S$17*$C$11,IF(S$16&gt;=('Model_Assumptions'!$C$8 + 1), S$17*$D$11, ""))))</f>
        <v/>
      </c>
      <c r="T20" s="21">
        <f>IF(T$16="","",IF(T$16=('Model_Assumptions'!$B$8+1), T$17*$E$11,IF(T$16&lt;='Model_Assumptions'!$C$8,T$17*$C$11,IF(T$16&gt;=('Model_Assumptions'!$C$8 + 1), T$17*$D$11, ""))))</f>
        <v/>
      </c>
      <c r="U20" s="21">
        <f>IF(U$16="","",IF(U$16=('Model_Assumptions'!$B$8+1), U$17*$E$11,IF(U$16&lt;='Model_Assumptions'!$C$8,U$17*$C$11,IF(U$16&gt;=('Model_Assumptions'!$C$8 + 1), U$17*$D$11, ""))))</f>
        <v/>
      </c>
      <c r="V20" s="21">
        <f>IF(V$16="","",IF(V$16=('Model_Assumptions'!$B$8+1), V$17*$E$11,IF(V$16&lt;='Model_Assumptions'!$C$8,V$17*$C$11,IF(V$16&gt;=('Model_Assumptions'!$C$8 + 1), V$17*$D$11, ""))))</f>
        <v/>
      </c>
      <c r="W20" s="21">
        <f>IF(W$16="","",IF(W$16=('Model_Assumptions'!$B$8+1), W$17*$E$11,IF(W$16&lt;='Model_Assumptions'!$C$8,W$17*$C$11,IF(W$16&gt;=('Model_Assumptions'!$C$8 + 1), W$17*$D$11, ""))))</f>
        <v/>
      </c>
      <c r="X20" s="21">
        <f>IF(X$16="","",IF(X$16=('Model_Assumptions'!$B$8+1), X$17*$E$11,IF(X$16&lt;='Model_Assumptions'!$C$8,X$17*$C$11,IF(X$16&gt;=('Model_Assumptions'!$C$8 + 1), X$17*$D$11, ""))))</f>
        <v/>
      </c>
      <c r="Y20" s="21">
        <f>IF(Y$16="","",IF(Y$16=('Model_Assumptions'!$B$8+1), Y$17*$E$11,IF(Y$16&lt;='Model_Assumptions'!$C$8,Y$17*$C$11,IF(Y$16&gt;=('Model_Assumptions'!$C$8 + 1), Y$17*$D$11, ""))))</f>
        <v/>
      </c>
      <c r="Z20" s="21">
        <f>IF(Z$16="","",IF(Z$16=('Model_Assumptions'!$B$8+1), Z$17*$E$11,IF(Z$16&lt;='Model_Assumptions'!$C$8,Z$17*$C$11,IF(Z$16&gt;=('Model_Assumptions'!$C$8 + 1), Z$17*$D$11, ""))))</f>
        <v/>
      </c>
      <c r="AA20" s="21">
        <f>IF(AA$16="","",IF(AA$16=('Model_Assumptions'!$B$8+1), AA$17*$E$11,IF(AA$16&lt;='Model_Assumptions'!$C$8,AA$17*$C$11,IF(AA$16&gt;=('Model_Assumptions'!$C$8 + 1), AA$17*$D$11, ""))))</f>
        <v/>
      </c>
      <c r="AB20" s="21">
        <f>IF(AB$16="","",IF(AB$16=('Model_Assumptions'!$B$8+1), AB$17*$E$11,IF(AB$16&lt;='Model_Assumptions'!$C$8,AB$17*$C$11,IF(AB$16&gt;=('Model_Assumptions'!$C$8 + 1), AB$17*$D$11, ""))))</f>
        <v/>
      </c>
      <c r="AC20" s="21">
        <f>IF(AC$16="","",IF(AC$16=('Model_Assumptions'!$B$8+1), AC$17*$E$11,IF(AC$16&lt;='Model_Assumptions'!$C$8,AC$17*$C$11,IF(AC$16&gt;=('Model_Assumptions'!$C$8 + 1), AC$17*$D$11, ""))))</f>
        <v/>
      </c>
      <c r="AD20" s="21">
        <f>IF(AD$16="","",IF(AD$16=('Model_Assumptions'!$B$8+1), AD$17*$E$11,IF(AD$16&lt;='Model_Assumptions'!$C$8,AD$17*$C$11,IF(AD$16&gt;=('Model_Assumptions'!$C$8 + 1), AD$17*$D$11, ""))))</f>
        <v/>
      </c>
      <c r="AE20" s="21">
        <f>IF(AE$16="","",IF(AE$16=('Model_Assumptions'!$B$8+1), AE$17*$E$11,IF(AE$16&lt;='Model_Assumptions'!$C$8,AE$17*$C$11,IF(AE$16&gt;=('Model_Assumptions'!$C$8 + 1), AE$17*$D$11, ""))))</f>
        <v/>
      </c>
      <c r="AF20" s="21">
        <f>IF(AF$16="","",IF(AF$16=('Model_Assumptions'!$B$8+1), AF$17*$E$11,IF(AF$16&lt;='Model_Assumptions'!$C$8,AF$17*$C$11,IF(AF$16&gt;=('Model_Assumptions'!$C$8 + 1), AF$17*$D$11, ""))))</f>
        <v/>
      </c>
      <c r="AG20" s="21">
        <f>IF(AG$16="","",IF(AG$16=('Model_Assumptions'!$B$8+1), AG$17*$E$11,IF(AG$16&lt;='Model_Assumptions'!$C$8,AG$17*$C$11,IF(AG$16&gt;=('Model_Assumptions'!$C$8 + 1), AG$17*$D$11, ""))))</f>
        <v/>
      </c>
      <c r="AH20" s="21">
        <f>IF(AH$16="","",IF(AH$16=('Model_Assumptions'!$B$8+1), AH$17*$E$11,IF(AH$16&lt;='Model_Assumptions'!$C$8,AH$17*$C$11,IF(AH$16&gt;=('Model_Assumptions'!$C$8 + 1), AH$17*$D$11, ""))))</f>
        <v/>
      </c>
      <c r="AI20" s="21">
        <f>IF(AI$16="","",IF(AI$16=('Model_Assumptions'!$B$8+1), AI$17*$E$11,IF(AI$16&lt;='Model_Assumptions'!$C$8,AI$17*$C$11,IF(AI$16&gt;=('Model_Assumptions'!$C$8 + 1), AI$17*$D$11, ""))))</f>
        <v/>
      </c>
      <c r="AJ20" s="21">
        <f>IF(AJ$16="","",IF(AJ$16=('Model_Assumptions'!$B$8+1), AJ$17*$E$11,IF(AJ$16&lt;='Model_Assumptions'!$C$8,AJ$17*$C$11,IF(AJ$16&gt;=('Model_Assumptions'!$C$8 + 1), AJ$17*$D$11, ""))))</f>
        <v/>
      </c>
      <c r="AK20" s="21">
        <f>IF(AK$16="","",IF(AK$16=('Model_Assumptions'!$B$8+1), AK$17*$E$11,IF(AK$16&lt;='Model_Assumptions'!$C$8,AK$17*$C$11,IF(AK$16&gt;=('Model_Assumptions'!$C$8 + 1), AK$17*$D$11, ""))))</f>
        <v/>
      </c>
      <c r="AL20" s="21">
        <f>IF(AL$16="","",IF(AL$16=('Model_Assumptions'!$B$8+1), AL$17*$E$11,IF(AL$16&lt;='Model_Assumptions'!$C$8,AL$17*$C$11,IF(AL$16&gt;=('Model_Assumptions'!$C$8 + 1), AL$17*$D$11, ""))))</f>
        <v/>
      </c>
      <c r="AM20" s="21">
        <f>IF(AM$16="","",IF(AM$16=('Model_Assumptions'!$B$8+1), AM$17*$E$11,IF(AM$16&lt;='Model_Assumptions'!$C$8,AM$17*$C$11,IF(AM$16&gt;=('Model_Assumptions'!$C$8 + 1), AM$17*$D$11, ""))))</f>
        <v/>
      </c>
      <c r="AN20" s="21">
        <f>IF(AN$16="","",IF(AN$16=('Model_Assumptions'!$B$8+1), AN$17*$E$11,IF(AN$16&lt;='Model_Assumptions'!$C$8,AN$17*$C$11,IF(AN$16&gt;=('Model_Assumptions'!$C$8 + 1), AN$17*$D$11, ""))))</f>
        <v/>
      </c>
      <c r="AO20" s="21">
        <f>IF(AO$16="","",IF(AO$16=('Model_Assumptions'!$B$8+1), AO$17*$E$11,IF(AO$16&lt;='Model_Assumptions'!$C$8,AO$17*$C$11,IF(AO$16&gt;=('Model_Assumptions'!$C$8 + 1), AO$17*$D$11, ""))))</f>
        <v/>
      </c>
      <c r="AP20" s="21">
        <f>IF(AP$16="","",IF(AP$16=('Model_Assumptions'!$B$8+1), AP$17*$E$11,IF(AP$16&lt;='Model_Assumptions'!$C$8,AP$17*$C$11,IF(AP$16&gt;=('Model_Assumptions'!$C$8 + 1), AP$17*$D$11, ""))))</f>
        <v/>
      </c>
      <c r="AQ20" s="21">
        <f>IF(AQ$16="","",IF(AQ$16=('Model_Assumptions'!$B$8+1), AQ$17*$E$11,IF(AQ$16&lt;='Model_Assumptions'!$C$8,AQ$17*$C$11,IF(AQ$16&gt;=('Model_Assumptions'!$C$8 + 1), AQ$17*$D$11, ""))))</f>
        <v/>
      </c>
      <c r="AR20" s="21">
        <f>IF(AR$16="","",IF(AR$16=('Model_Assumptions'!$B$8+1), AR$17*$E$11,IF(AR$16&lt;='Model_Assumptions'!$C$8,AR$17*$C$11,IF(AR$16&gt;=('Model_Assumptions'!$C$8 + 1), AR$17*$D$11, ""))))</f>
        <v/>
      </c>
      <c r="AS20" s="21">
        <f>IF(AS$16="","",IF(AS$16=('Model_Assumptions'!$B$8+1), AS$17*$E$11,IF(AS$16&lt;='Model_Assumptions'!$C$8,AS$17*$C$11,IF(AS$16&gt;=('Model_Assumptions'!$C$8 + 1), AS$17*$D$11, ""))))</f>
        <v/>
      </c>
      <c r="AT20" s="21">
        <f>IF(AT$16="","",IF(AT$16=('Model_Assumptions'!$B$8+1), AT$17*$E$11,IF(AT$16&lt;='Model_Assumptions'!$C$8,AT$17*$C$11,IF(AT$16&gt;=('Model_Assumptions'!$C$8 + 1), AT$17*$D$11, ""))))</f>
        <v/>
      </c>
      <c r="AU20" s="21">
        <f>IF(AU$16="","",IF(AU$16=('Model_Assumptions'!$B$8+1), AU$17*$E$11,IF(AU$16&lt;='Model_Assumptions'!$C$8,AU$17*$C$11,IF(AU$16&gt;=('Model_Assumptions'!$C$8 + 1), AU$17*$D$11, ""))))</f>
        <v/>
      </c>
      <c r="AV20" s="21">
        <f>IF(AV$16="","",IF(AV$16=('Model_Assumptions'!$B$8+1), AV$17*$E$11,IF(AV$16&lt;='Model_Assumptions'!$C$8,AV$17*$C$11,IF(AV$16&gt;=('Model_Assumptions'!$C$8 + 1), AV$17*$D$11, ""))))</f>
        <v/>
      </c>
      <c r="AW20" s="21">
        <f>IF(AW$16="","",IF(AW$16=('Model_Assumptions'!$B$8+1), AW$17*$E$11,IF(AW$16&lt;='Model_Assumptions'!$C$8,AW$17*$C$11,IF(AW$16&gt;=('Model_Assumptions'!$C$8 + 1), AW$17*$D$11, ""))))</f>
        <v/>
      </c>
      <c r="AX20" s="21">
        <f>IF(AX$16="","",IF(AX$16=('Model_Assumptions'!$B$8+1), AX$17*$E$11,IF(AX$16&lt;='Model_Assumptions'!$C$8,AX$17*$C$11,IF(AX$16&gt;=('Model_Assumptions'!$C$8 + 1), AX$17*$D$11, ""))))</f>
        <v/>
      </c>
      <c r="AY20" s="21">
        <f>IF(AY$16="","",IF(AY$16=('Model_Assumptions'!$B$8+1), AY$17*$E$11,IF(AY$16&lt;='Model_Assumptions'!$C$8,AY$17*$C$11,IF(AY$16&gt;=('Model_Assumptions'!$C$8 + 1), AY$17*$D$11, ""))))</f>
        <v/>
      </c>
      <c r="AZ20" s="21">
        <f>IF(AZ$16="","",IF(AZ$16=('Model_Assumptions'!$B$8+1), AZ$17*$E$11,IF(AZ$16&lt;='Model_Assumptions'!$C$8,AZ$17*$C$11,IF(AZ$16&gt;=('Model_Assumptions'!$C$8 + 1), AZ$17*$D$11, ""))))</f>
        <v/>
      </c>
      <c r="BA20" s="21">
        <f>IF(BA$16="","",IF(BA$16=('Model_Assumptions'!$B$8+1), BA$17*$E$11,IF(BA$16&lt;='Model_Assumptions'!$C$8,BA$17*$C$11,IF(BA$16&gt;=('Model_Assumptions'!$C$8 + 1), BA$17*$D$11, ""))))</f>
        <v/>
      </c>
      <c r="BB20" s="21">
        <f>IF(BB$16="","",IF(BB$16=('Model_Assumptions'!$B$8+1), BB$17*$E$11,IF(BB$16&lt;='Model_Assumptions'!$C$8,BB$17*$C$11,IF(BB$16&gt;=('Model_Assumptions'!$C$8 + 1), BB$17*$D$11, ""))))</f>
        <v/>
      </c>
      <c r="BC20" s="21">
        <f>IF(BC$16="","",IF(BC$16=('Model_Assumptions'!$B$8+1), BC$17*$E$11,IF(BC$16&lt;='Model_Assumptions'!$C$8,BC$17*$C$11,IF(BC$16&gt;=('Model_Assumptions'!$C$8 + 1), BC$17*$D$11, ""))))</f>
        <v/>
      </c>
      <c r="BD20" s="21">
        <f>IF(BD$16="","",IF(BD$16=('Model_Assumptions'!$B$8+1), BD$17*$E$11,IF(BD$16&lt;='Model_Assumptions'!$C$8,BD$17*$C$11,IF(BD$16&gt;=('Model_Assumptions'!$C$8 + 1), BD$17*$D$11, ""))))</f>
        <v/>
      </c>
      <c r="BE20" s="21">
        <f>IF(BE$16="","",IF(BE$16=('Model_Assumptions'!$B$8+1), BE$17*$E$11,IF(BE$16&lt;='Model_Assumptions'!$C$8,BE$17*$C$11,IF(BE$16&gt;=('Model_Assumptions'!$C$8 + 1), BE$17*$D$11, ""))))</f>
        <v/>
      </c>
      <c r="BF20" s="21">
        <f>IF(BF$16="","",IF(BF$16=('Model_Assumptions'!$B$8+1), BF$17*$E$11,IF(BF$16&lt;='Model_Assumptions'!$C$8,BF$17*$C$11,IF(BF$16&gt;=('Model_Assumptions'!$C$8 + 1), BF$17*$D$11, ""))))</f>
        <v/>
      </c>
      <c r="BG20" s="21">
        <f>IF(BG$16="","",IF(BG$16=('Model_Assumptions'!$B$8+1), BG$17*$E$11,IF(BG$16&lt;='Model_Assumptions'!$C$8,BG$17*$C$11,IF(BG$16&gt;=('Model_Assumptions'!$C$8 + 1), BG$17*$D$11, ""))))</f>
        <v/>
      </c>
      <c r="BH20" s="21">
        <f>IF(BH$16="","",IF(BH$16=('Model_Assumptions'!$B$8+1), BH$17*$E$11,IF(BH$16&lt;='Model_Assumptions'!$C$8,BH$17*$C$11,IF(BH$16&gt;=('Model_Assumptions'!$C$8 + 1), BH$17*$D$11, ""))))</f>
        <v/>
      </c>
      <c r="BI20" s="21">
        <f>IF(BI$16="","",IF(BI$16=('Model_Assumptions'!$B$8+1), BI$17*$E$11,IF(BI$16&lt;='Model_Assumptions'!$C$8,BI$17*$C$11,IF(BI$16&gt;=('Model_Assumptions'!$C$8 + 1), BI$17*$D$11, ""))))</f>
        <v/>
      </c>
      <c r="BJ20" s="21">
        <f>IF(BJ$16="","",IF(BJ$16=('Model_Assumptions'!$B$8+1), BJ$17*$E$11,IF(BJ$16&lt;='Model_Assumptions'!$C$8,BJ$17*$C$11,IF(BJ$16&gt;=('Model_Assumptions'!$C$8 + 1), BJ$17*$D$11, ""))))</f>
        <v/>
      </c>
      <c r="BK20" s="21">
        <f>IF(BK$16="","",IF(BK$16=('Model_Assumptions'!$B$8+1), BK$17*$E$11,IF(BK$16&lt;='Model_Assumptions'!$C$8,BK$17*$C$11,IF(BK$16&gt;=('Model_Assumptions'!$C$8 + 1), BK$17*$D$11, ""))))</f>
        <v/>
      </c>
      <c r="BL20" s="21">
        <f>IF(BL$16="","",IF(BL$16=('Model_Assumptions'!$B$8+1), BL$17*$E$11,IF(BL$16&lt;='Model_Assumptions'!$C$8,BL$17*$C$11,IF(BL$16&gt;=('Model_Assumptions'!$C$8 + 1), BL$17*$D$11, ""))))</f>
        <v/>
      </c>
      <c r="BM20" s="21">
        <f>IF(BM$16="","",IF(BM$16=('Model_Assumptions'!$B$8+1), BM$17*$E$11,IF(BM$16&lt;='Model_Assumptions'!$C$8,BM$17*$C$11,IF(BM$16&gt;=('Model_Assumptions'!$C$8 + 1), BM$17*$D$11, ""))))</f>
        <v/>
      </c>
      <c r="BN20" s="21">
        <f>IF(BN$16="","",IF(BN$16=('Model_Assumptions'!$B$8+1), BN$17*$E$11,IF(BN$16&lt;='Model_Assumptions'!$C$8,BN$17*$C$11,IF(BN$16&gt;=('Model_Assumptions'!$C$8 + 1), BN$17*$D$11, ""))))</f>
        <v/>
      </c>
      <c r="BO20" s="21">
        <f>IF(BO$16="","",IF(BO$16=('Model_Assumptions'!$B$8+1), BO$17*$E$11,IF(BO$16&lt;='Model_Assumptions'!$C$8,BO$17*$C$11,IF(BO$16&gt;=('Model_Assumptions'!$C$8 + 1), BO$17*$D$11, ""))))</f>
        <v/>
      </c>
      <c r="BP20" s="21">
        <f>IF(BP$16="","",IF(BP$16=('Model_Assumptions'!$B$8+1), BP$17*$E$11,IF(BP$16&lt;='Model_Assumptions'!$C$8,BP$17*$C$11,IF(BP$16&gt;=('Model_Assumptions'!$C$8 + 1), BP$17*$D$11, ""))))</f>
        <v/>
      </c>
      <c r="BQ20" s="21">
        <f>IF(BQ$16="","",IF(BQ$16=('Model_Assumptions'!$B$8+1), BQ$17*$E$11,IF(BQ$16&lt;='Model_Assumptions'!$C$8,BQ$17*$C$11,IF(BQ$16&gt;=('Model_Assumptions'!$C$8 + 1), BQ$17*$D$11, ""))))</f>
        <v/>
      </c>
      <c r="BR20" s="21">
        <f>IF(BR$16="","",IF(BR$16=('Model_Assumptions'!$B$8+1), BR$17*$E$11,IF(BR$16&lt;='Model_Assumptions'!$C$8,BR$17*$C$11,IF(BR$16&gt;=('Model_Assumptions'!$C$8 + 1), BR$17*$D$11, ""))))</f>
        <v/>
      </c>
      <c r="BS20" s="21">
        <f>IF(BS$16="","",IF(BS$16=('Model_Assumptions'!$B$8+1), BS$17*$E$11,IF(BS$16&lt;='Model_Assumptions'!$C$8,BS$17*$C$11,IF(BS$16&gt;=('Model_Assumptions'!$C$8 + 1), BS$17*$D$11, ""))))</f>
        <v/>
      </c>
      <c r="BT20" s="21">
        <f>IF(BT$16="","",IF(BT$16=('Model_Assumptions'!$B$8+1), BT$17*$E$11,IF(BT$16&lt;='Model_Assumptions'!$C$8,BT$17*$C$11,IF(BT$16&gt;=('Model_Assumptions'!$C$8 + 1), BT$17*$D$11, ""))))</f>
        <v/>
      </c>
      <c r="BU20" s="21">
        <f>IF(BU$16="","",IF(BU$16=('Model_Assumptions'!$B$8+1), BU$17*$E$11,IF(BU$16&lt;='Model_Assumptions'!$C$8,BU$17*$C$11,IF(BU$16&gt;=('Model_Assumptions'!$C$8 + 1), BU$17*$D$11, ""))))</f>
        <v/>
      </c>
      <c r="BV20" s="21">
        <f>IF(BV$16="","",IF(BV$16=('Model_Assumptions'!$B$8+1), BV$17*$E$11,IF(BV$16&lt;='Model_Assumptions'!$C$8,BV$17*$C$11,IF(BV$16&gt;=('Model_Assumptions'!$C$8 + 1), BV$17*$D$11, ""))))</f>
        <v/>
      </c>
      <c r="BW20" s="21">
        <f>IF(BW$16="","",IF(BW$16=('Model_Assumptions'!$B$8+1), BW$17*$E$11,IF(BW$16&lt;='Model_Assumptions'!$C$8,BW$17*$C$11,IF(BW$16&gt;=('Model_Assumptions'!$C$8 + 1), BW$17*$D$11, ""))))</f>
        <v/>
      </c>
      <c r="BX20" s="21">
        <f>IF(BX$16="","",IF(BX$16=('Model_Assumptions'!$B$8+1), BX$17*$E$11,IF(BX$16&lt;='Model_Assumptions'!$C$8,BX$17*$C$11,IF(BX$16&gt;=('Model_Assumptions'!$C$8 + 1), BX$17*$D$11, ""))))</f>
        <v/>
      </c>
      <c r="BY20" s="21">
        <f>IF(BY$16="","",IF(BY$16=('Model_Assumptions'!$B$8+1), BY$17*$E$11,IF(BY$16&lt;='Model_Assumptions'!$C$8,BY$17*$C$11,IF(BY$16&gt;=('Model_Assumptions'!$C$8 + 1), BY$17*$D$11, ""))))</f>
        <v/>
      </c>
      <c r="BZ20" s="21">
        <f>IF(BZ$16="","",IF(BZ$16=('Model_Assumptions'!$B$8+1), BZ$17*$E$11,IF(BZ$16&lt;='Model_Assumptions'!$C$8,BZ$17*$C$11,IF(BZ$16&gt;=('Model_Assumptions'!$C$8 + 1), BZ$17*$D$11, ""))))</f>
        <v/>
      </c>
      <c r="CA20" s="21">
        <f>IF(CA$16="","",IF(CA$16=('Model_Assumptions'!$B$8+1), CA$17*$E$11,IF(CA$16&lt;='Model_Assumptions'!$C$8,CA$17*$C$11,IF(CA$16&gt;=('Model_Assumptions'!$C$8 + 1), CA$17*$D$11, ""))))</f>
        <v/>
      </c>
      <c r="CB20" s="21">
        <f>IF(CB$16="","",IF(CB$16=('Model_Assumptions'!$B$8+1), CB$17*$E$11,IF(CB$16&lt;='Model_Assumptions'!$C$8,CB$17*$C$11,IF(CB$16&gt;=('Model_Assumptions'!$C$8 + 1), CB$17*$D$11, ""))))</f>
        <v/>
      </c>
      <c r="CC20" s="21">
        <f>IF(CC$16="","",IF(CC$16=('Model_Assumptions'!$B$8+1), CC$17*$E$11,IF(CC$16&lt;='Model_Assumptions'!$C$8,CC$17*$C$11,IF(CC$16&gt;=('Model_Assumptions'!$C$8 + 1), CC$17*$D$11, ""))))</f>
        <v/>
      </c>
      <c r="CD20" s="21">
        <f>IF(CD$16="","",IF(CD$16=('Model_Assumptions'!$B$8+1), CD$17*$E$11,IF(CD$16&lt;='Model_Assumptions'!$C$8,CD$17*$C$11,IF(CD$16&gt;=('Model_Assumptions'!$C$8 + 1), CD$17*$D$11, ""))))</f>
        <v/>
      </c>
      <c r="CE20" s="21">
        <f>IF(CE$16="","",IF(CE$16=('Model_Assumptions'!$B$8+1), CE$17*$E$11,IF(CE$16&lt;='Model_Assumptions'!$C$8,CE$17*$C$11,IF(CE$16&gt;=('Model_Assumptions'!$C$8 + 1), CE$17*$D$11, ""))))</f>
        <v/>
      </c>
      <c r="CF20" s="21">
        <f>IF(CF$16="","",IF(CF$16=('Model_Assumptions'!$B$8+1), CF$17*$E$11,IF(CF$16&lt;='Model_Assumptions'!$C$8,CF$17*$C$11,IF(CF$16&gt;=('Model_Assumptions'!$C$8 + 1), CF$17*$D$11, ""))))</f>
        <v/>
      </c>
      <c r="CG20" s="21">
        <f>IF(CG$16="","",IF(CG$16=('Model_Assumptions'!$B$8+1), CG$17*$E$11,IF(CG$16&lt;='Model_Assumptions'!$C$8,CG$17*$C$11,IF(CG$16&gt;=('Model_Assumptions'!$C$8 + 1), CG$17*$D$11, ""))))</f>
        <v/>
      </c>
      <c r="CH20" s="21">
        <f>IF(CH$16="","",IF(CH$16=('Model_Assumptions'!$B$8+1), CH$17*$E$11,IF(CH$16&lt;='Model_Assumptions'!$C$8,CH$17*$C$11,IF(CH$16&gt;=('Model_Assumptions'!$C$8 + 1), CH$17*$D$11, ""))))</f>
        <v/>
      </c>
      <c r="CI20" s="21">
        <f>IF(CI$16="","",IF(CI$16=('Model_Assumptions'!$B$8+1), CI$17*$E$11,IF(CI$16&lt;='Model_Assumptions'!$C$8,CI$17*$C$11,IF(CI$16&gt;=('Model_Assumptions'!$C$8 + 1), CI$17*$D$11, ""))))</f>
        <v/>
      </c>
      <c r="CJ20" s="21">
        <f>IF(CJ$16="","",IF(CJ$16=('Model_Assumptions'!$B$8+1), CJ$17*$E$11,IF(CJ$16&lt;='Model_Assumptions'!$C$8,CJ$17*$C$11,IF(CJ$16&gt;=('Model_Assumptions'!$C$8 + 1), CJ$17*$D$11, ""))))</f>
        <v/>
      </c>
      <c r="CK20" s="21">
        <f>IF(CK$16="","",IF(CK$16=('Model_Assumptions'!$B$8+1), CK$17*$E$11,IF(CK$16&lt;='Model_Assumptions'!$C$8,CK$17*$C$11,IF(CK$16&gt;=('Model_Assumptions'!$C$8 + 1), CK$17*$D$11, ""))))</f>
        <v/>
      </c>
      <c r="CL20" s="21">
        <f>IF(CL$16="","",IF(CL$16=('Model_Assumptions'!$B$8+1), CL$17*$E$11,IF(CL$16&lt;='Model_Assumptions'!$C$8,CL$17*$C$11,IF(CL$16&gt;=('Model_Assumptions'!$C$8 + 1), CL$17*$D$11, ""))))</f>
        <v/>
      </c>
      <c r="CM20" s="22">
        <f>IF(CM$16="","",IF(CM$16=('Model_Assumptions'!$B$8+1), CM$17*$E$11,IF(CM$16&lt;='Model_Assumptions'!$C$8,CM$17*$C$11,IF(CM$16&gt;=('Model_Assumptions'!$C$8 + 1), CM$17*$D$11, ""))))</f>
        <v/>
      </c>
    </row>
    <row r="21">
      <c r="B21" s="19" t="inlineStr">
        <is>
          <t>Depreciation Tax Shield</t>
        </is>
      </c>
      <c r="C21" s="20" t="inlineStr"/>
      <c r="D21" s="21">
        <f>IF(D$16 = "","", IF(D$16 =( 'Model_Assumptions'!$B$8 +1), D$20 * $E$9, IF(D$16 &lt;= 'Model_Assumptions'!$C$8, D$20 * $C$9, IF(D$16 &gt;= ('Model_Assumptions'!$C$8 + 1), D$20 * $D$9))))</f>
        <v/>
      </c>
      <c r="E21" s="21">
        <f>IF(E$16 = "","", IF(E$16 =( 'Model_Assumptions'!$B$8 +1), E$20 * $E$9, IF(E$16 &lt;= 'Model_Assumptions'!$C$8, E$20 * $C$9, IF(E$16 &gt;= ('Model_Assumptions'!$C$8 + 1), E$20 * $D$9))))</f>
        <v/>
      </c>
      <c r="F21" s="21">
        <f>IF(F$16 = "","", IF(F$16 =( 'Model_Assumptions'!$B$8 +1), F$20 * $E$9, IF(F$16 &lt;= 'Model_Assumptions'!$C$8, F$20 * $C$9, IF(F$16 &gt;= ('Model_Assumptions'!$C$8 + 1), F$20 * $D$9))))</f>
        <v/>
      </c>
      <c r="G21" s="21">
        <f>IF(G$16 = "","", IF(G$16 =( 'Model_Assumptions'!$B$8 +1), G$20 * $E$9, IF(G$16 &lt;= 'Model_Assumptions'!$C$8, G$20 * $C$9, IF(G$16 &gt;= ('Model_Assumptions'!$C$8 + 1), G$20 * $D$9))))</f>
        <v/>
      </c>
      <c r="H21" s="21">
        <f>IF(H$16 = "","", IF(H$16 =( 'Model_Assumptions'!$B$8 +1), H$20 * $E$9, IF(H$16 &lt;= 'Model_Assumptions'!$C$8, H$20 * $C$9, IF(H$16 &gt;= ('Model_Assumptions'!$C$8 + 1), H$20 * $D$9))))</f>
        <v/>
      </c>
      <c r="I21" s="21">
        <f>IF(I$16 = "","", IF(I$16 =( 'Model_Assumptions'!$B$8 +1), I$20 * $E$9, IF(I$16 &lt;= 'Model_Assumptions'!$C$8, I$20 * $C$9, IF(I$16 &gt;= ('Model_Assumptions'!$C$8 + 1), I$20 * $D$9))))</f>
        <v/>
      </c>
      <c r="J21" s="21">
        <f>IF(J$16 = "","", IF(J$16 =( 'Model_Assumptions'!$B$8 +1), J$20 * $E$9, IF(J$16 &lt;= 'Model_Assumptions'!$C$8, J$20 * $C$9, IF(J$16 &gt;= ('Model_Assumptions'!$C$8 + 1), J$20 * $D$9))))</f>
        <v/>
      </c>
      <c r="K21" s="21">
        <f>IF(K$16 = "","", IF(K$16 =( 'Model_Assumptions'!$B$8 +1), K$20 * $E$9, IF(K$16 &lt;= 'Model_Assumptions'!$C$8, K$20 * $C$9, IF(K$16 &gt;= ('Model_Assumptions'!$C$8 + 1), K$20 * $D$9))))</f>
        <v/>
      </c>
      <c r="L21" s="21">
        <f>IF(L$16 = "","", IF(L$16 =( 'Model_Assumptions'!$B$8 +1), L$20 * $E$9, IF(L$16 &lt;= 'Model_Assumptions'!$C$8, L$20 * $C$9, IF(L$16 &gt;= ('Model_Assumptions'!$C$8 + 1), L$20 * $D$9))))</f>
        <v/>
      </c>
      <c r="M21" s="21">
        <f>IF(M$16 = "","", IF(M$16 =( 'Model_Assumptions'!$B$8 +1), M$20 * $E$9, IF(M$16 &lt;= 'Model_Assumptions'!$C$8, M$20 * $C$9, IF(M$16 &gt;= ('Model_Assumptions'!$C$8 + 1), M$20 * $D$9))))</f>
        <v/>
      </c>
      <c r="N21" s="21">
        <f>IF(N$16 = "","", IF(N$16 =( 'Model_Assumptions'!$B$8 +1), N$20 * $E$9, IF(N$16 &lt;= 'Model_Assumptions'!$C$8, N$20 * $C$9, IF(N$16 &gt;= ('Model_Assumptions'!$C$8 + 1), N$20 * $D$9))))</f>
        <v/>
      </c>
      <c r="O21" s="21">
        <f>IF(O$16 = "","", IF(O$16 =( 'Model_Assumptions'!$B$8 +1), O$20 * $E$9, IF(O$16 &lt;= 'Model_Assumptions'!$C$8, O$20 * $C$9, IF(O$16 &gt;= ('Model_Assumptions'!$C$8 + 1), O$20 * $D$9))))</f>
        <v/>
      </c>
      <c r="P21" s="21">
        <f>IF(P$16 = "","", IF(P$16 =( 'Model_Assumptions'!$B$8 +1), P$20 * $E$9, IF(P$16 &lt;= 'Model_Assumptions'!$C$8, P$20 * $C$9, IF(P$16 &gt;= ('Model_Assumptions'!$C$8 + 1), P$20 * $D$9))))</f>
        <v/>
      </c>
      <c r="Q21" s="21">
        <f>IF(Q$16 = "","", IF(Q$16 =( 'Model_Assumptions'!$B$8 +1), Q$20 * $E$9, IF(Q$16 &lt;= 'Model_Assumptions'!$C$8, Q$20 * $C$9, IF(Q$16 &gt;= ('Model_Assumptions'!$C$8 + 1), Q$20 * $D$9))))</f>
        <v/>
      </c>
      <c r="R21" s="21">
        <f>IF(R$16 = "","", IF(R$16 =( 'Model_Assumptions'!$B$8 +1), R$20 * $E$9, IF(R$16 &lt;= 'Model_Assumptions'!$C$8, R$20 * $C$9, IF(R$16 &gt;= ('Model_Assumptions'!$C$8 + 1), R$20 * $D$9))))</f>
        <v/>
      </c>
      <c r="S21" s="21">
        <f>IF(S$16 = "","", IF(S$16 =( 'Model_Assumptions'!$B$8 +1), S$20 * $E$9, IF(S$16 &lt;= 'Model_Assumptions'!$C$8, S$20 * $C$9, IF(S$16 &gt;= ('Model_Assumptions'!$C$8 + 1), S$20 * $D$9))))</f>
        <v/>
      </c>
      <c r="T21" s="21">
        <f>IF(T$16 = "","", IF(T$16 =( 'Model_Assumptions'!$B$8 +1), T$20 * $E$9, IF(T$16 &lt;= 'Model_Assumptions'!$C$8, T$20 * $C$9, IF(T$16 &gt;= ('Model_Assumptions'!$C$8 + 1), T$20 * $D$9))))</f>
        <v/>
      </c>
      <c r="U21" s="21">
        <f>IF(U$16 = "","", IF(U$16 =( 'Model_Assumptions'!$B$8 +1), U$20 * $E$9, IF(U$16 &lt;= 'Model_Assumptions'!$C$8, U$20 * $C$9, IF(U$16 &gt;= ('Model_Assumptions'!$C$8 + 1), U$20 * $D$9))))</f>
        <v/>
      </c>
      <c r="V21" s="21">
        <f>IF(V$16 = "","", IF(V$16 =( 'Model_Assumptions'!$B$8 +1), V$20 * $E$9, IF(V$16 &lt;= 'Model_Assumptions'!$C$8, V$20 * $C$9, IF(V$16 &gt;= ('Model_Assumptions'!$C$8 + 1), V$20 * $D$9))))</f>
        <v/>
      </c>
      <c r="W21" s="21">
        <f>IF(W$16 = "","", IF(W$16 =( 'Model_Assumptions'!$B$8 +1), W$20 * $E$9, IF(W$16 &lt;= 'Model_Assumptions'!$C$8, W$20 * $C$9, IF(W$16 &gt;= ('Model_Assumptions'!$C$8 + 1), W$20 * $D$9))))</f>
        <v/>
      </c>
      <c r="X21" s="21">
        <f>IF(X$16 = "","", IF(X$16 =( 'Model_Assumptions'!$B$8 +1), X$20 * $E$9, IF(X$16 &lt;= 'Model_Assumptions'!$C$8, X$20 * $C$9, IF(X$16 &gt;= ('Model_Assumptions'!$C$8 + 1), X$20 * $D$9))))</f>
        <v/>
      </c>
      <c r="Y21" s="21">
        <f>IF(Y$16 = "","", IF(Y$16 =( 'Model_Assumptions'!$B$8 +1), Y$20 * $E$9, IF(Y$16 &lt;= 'Model_Assumptions'!$C$8, Y$20 * $C$9, IF(Y$16 &gt;= ('Model_Assumptions'!$C$8 + 1), Y$20 * $D$9))))</f>
        <v/>
      </c>
      <c r="Z21" s="21">
        <f>IF(Z$16 = "","", IF(Z$16 =( 'Model_Assumptions'!$B$8 +1), Z$20 * $E$9, IF(Z$16 &lt;= 'Model_Assumptions'!$C$8, Z$20 * $C$9, IF(Z$16 &gt;= ('Model_Assumptions'!$C$8 + 1), Z$20 * $D$9))))</f>
        <v/>
      </c>
      <c r="AA21" s="21">
        <f>IF(AA$16 = "","", IF(AA$16 =( 'Model_Assumptions'!$B$8 +1), AA$20 * $E$9, IF(AA$16 &lt;= 'Model_Assumptions'!$C$8, AA$20 * $C$9, IF(AA$16 &gt;= ('Model_Assumptions'!$C$8 + 1), AA$20 * $D$9))))</f>
        <v/>
      </c>
      <c r="AB21" s="21">
        <f>IF(AB$16 = "","", IF(AB$16 =( 'Model_Assumptions'!$B$8 +1), AB$20 * $E$9, IF(AB$16 &lt;= 'Model_Assumptions'!$C$8, AB$20 * $C$9, IF(AB$16 &gt;= ('Model_Assumptions'!$C$8 + 1), AB$20 * $D$9))))</f>
        <v/>
      </c>
      <c r="AC21" s="21">
        <f>IF(AC$16 = "","", IF(AC$16 =( 'Model_Assumptions'!$B$8 +1), AC$20 * $E$9, IF(AC$16 &lt;= 'Model_Assumptions'!$C$8, AC$20 * $C$9, IF(AC$16 &gt;= ('Model_Assumptions'!$C$8 + 1), AC$20 * $D$9))))</f>
        <v/>
      </c>
      <c r="AD21" s="21">
        <f>IF(AD$16 = "","", IF(AD$16 =( 'Model_Assumptions'!$B$8 +1), AD$20 * $E$9, IF(AD$16 &lt;= 'Model_Assumptions'!$C$8, AD$20 * $C$9, IF(AD$16 &gt;= ('Model_Assumptions'!$C$8 + 1), AD$20 * $D$9))))</f>
        <v/>
      </c>
      <c r="AE21" s="21">
        <f>IF(AE$16 = "","", IF(AE$16 =( 'Model_Assumptions'!$B$8 +1), AE$20 * $E$9, IF(AE$16 &lt;= 'Model_Assumptions'!$C$8, AE$20 * $C$9, IF(AE$16 &gt;= ('Model_Assumptions'!$C$8 + 1), AE$20 * $D$9))))</f>
        <v/>
      </c>
      <c r="AF21" s="21">
        <f>IF(AF$16 = "","", IF(AF$16 =( 'Model_Assumptions'!$B$8 +1), AF$20 * $E$9, IF(AF$16 &lt;= 'Model_Assumptions'!$C$8, AF$20 * $C$9, IF(AF$16 &gt;= ('Model_Assumptions'!$C$8 + 1), AF$20 * $D$9))))</f>
        <v/>
      </c>
      <c r="AG21" s="21">
        <f>IF(AG$16 = "","", IF(AG$16 =( 'Model_Assumptions'!$B$8 +1), AG$20 * $E$9, IF(AG$16 &lt;= 'Model_Assumptions'!$C$8, AG$20 * $C$9, IF(AG$16 &gt;= ('Model_Assumptions'!$C$8 + 1), AG$20 * $D$9))))</f>
        <v/>
      </c>
      <c r="AH21" s="21">
        <f>IF(AH$16 = "","", IF(AH$16 =( 'Model_Assumptions'!$B$8 +1), AH$20 * $E$9, IF(AH$16 &lt;= 'Model_Assumptions'!$C$8, AH$20 * $C$9, IF(AH$16 &gt;= ('Model_Assumptions'!$C$8 + 1), AH$20 * $D$9))))</f>
        <v/>
      </c>
      <c r="AI21" s="21">
        <f>IF(AI$16 = "","", IF(AI$16 =( 'Model_Assumptions'!$B$8 +1), AI$20 * $E$9, IF(AI$16 &lt;= 'Model_Assumptions'!$C$8, AI$20 * $C$9, IF(AI$16 &gt;= ('Model_Assumptions'!$C$8 + 1), AI$20 * $D$9))))</f>
        <v/>
      </c>
      <c r="AJ21" s="21">
        <f>IF(AJ$16 = "","", IF(AJ$16 =( 'Model_Assumptions'!$B$8 +1), AJ$20 * $E$9, IF(AJ$16 &lt;= 'Model_Assumptions'!$C$8, AJ$20 * $C$9, IF(AJ$16 &gt;= ('Model_Assumptions'!$C$8 + 1), AJ$20 * $D$9))))</f>
        <v/>
      </c>
      <c r="AK21" s="21">
        <f>IF(AK$16 = "","", IF(AK$16 =( 'Model_Assumptions'!$B$8 +1), AK$20 * $E$9, IF(AK$16 &lt;= 'Model_Assumptions'!$C$8, AK$20 * $C$9, IF(AK$16 &gt;= ('Model_Assumptions'!$C$8 + 1), AK$20 * $D$9))))</f>
        <v/>
      </c>
      <c r="AL21" s="21">
        <f>IF(AL$16 = "","", IF(AL$16 =( 'Model_Assumptions'!$B$8 +1), AL$20 * $E$9, IF(AL$16 &lt;= 'Model_Assumptions'!$C$8, AL$20 * $C$9, IF(AL$16 &gt;= ('Model_Assumptions'!$C$8 + 1), AL$20 * $D$9))))</f>
        <v/>
      </c>
      <c r="AM21" s="21">
        <f>IF(AM$16 = "","", IF(AM$16 =( 'Model_Assumptions'!$B$8 +1), AM$20 * $E$9, IF(AM$16 &lt;= 'Model_Assumptions'!$C$8, AM$20 * $C$9, IF(AM$16 &gt;= ('Model_Assumptions'!$C$8 + 1), AM$20 * $D$9))))</f>
        <v/>
      </c>
      <c r="AN21" s="21">
        <f>IF(AN$16 = "","", IF(AN$16 =( 'Model_Assumptions'!$B$8 +1), AN$20 * $E$9, IF(AN$16 &lt;= 'Model_Assumptions'!$C$8, AN$20 * $C$9, IF(AN$16 &gt;= ('Model_Assumptions'!$C$8 + 1), AN$20 * $D$9))))</f>
        <v/>
      </c>
      <c r="AO21" s="21">
        <f>IF(AO$16 = "","", IF(AO$16 =( 'Model_Assumptions'!$B$8 +1), AO$20 * $E$9, IF(AO$16 &lt;= 'Model_Assumptions'!$C$8, AO$20 * $C$9, IF(AO$16 &gt;= ('Model_Assumptions'!$C$8 + 1), AO$20 * $D$9))))</f>
        <v/>
      </c>
      <c r="AP21" s="21">
        <f>IF(AP$16 = "","", IF(AP$16 =( 'Model_Assumptions'!$B$8 +1), AP$20 * $E$9, IF(AP$16 &lt;= 'Model_Assumptions'!$C$8, AP$20 * $C$9, IF(AP$16 &gt;= ('Model_Assumptions'!$C$8 + 1), AP$20 * $D$9))))</f>
        <v/>
      </c>
      <c r="AQ21" s="21">
        <f>IF(AQ$16 = "","", IF(AQ$16 =( 'Model_Assumptions'!$B$8 +1), AQ$20 * $E$9, IF(AQ$16 &lt;= 'Model_Assumptions'!$C$8, AQ$20 * $C$9, IF(AQ$16 &gt;= ('Model_Assumptions'!$C$8 + 1), AQ$20 * $D$9))))</f>
        <v/>
      </c>
      <c r="AR21" s="21">
        <f>IF(AR$16 = "","", IF(AR$16 =( 'Model_Assumptions'!$B$8 +1), AR$20 * $E$9, IF(AR$16 &lt;= 'Model_Assumptions'!$C$8, AR$20 * $C$9, IF(AR$16 &gt;= ('Model_Assumptions'!$C$8 + 1), AR$20 * $D$9))))</f>
        <v/>
      </c>
      <c r="AS21" s="21">
        <f>IF(AS$16 = "","", IF(AS$16 =( 'Model_Assumptions'!$B$8 +1), AS$20 * $E$9, IF(AS$16 &lt;= 'Model_Assumptions'!$C$8, AS$20 * $C$9, IF(AS$16 &gt;= ('Model_Assumptions'!$C$8 + 1), AS$20 * $D$9))))</f>
        <v/>
      </c>
      <c r="AT21" s="21">
        <f>IF(AT$16 = "","", IF(AT$16 =( 'Model_Assumptions'!$B$8 +1), AT$20 * $E$9, IF(AT$16 &lt;= 'Model_Assumptions'!$C$8, AT$20 * $C$9, IF(AT$16 &gt;= ('Model_Assumptions'!$C$8 + 1), AT$20 * $D$9))))</f>
        <v/>
      </c>
      <c r="AU21" s="21">
        <f>IF(AU$16 = "","", IF(AU$16 =( 'Model_Assumptions'!$B$8 +1), AU$20 * $E$9, IF(AU$16 &lt;= 'Model_Assumptions'!$C$8, AU$20 * $C$9, IF(AU$16 &gt;= ('Model_Assumptions'!$C$8 + 1), AU$20 * $D$9))))</f>
        <v/>
      </c>
      <c r="AV21" s="21">
        <f>IF(AV$16 = "","", IF(AV$16 =( 'Model_Assumptions'!$B$8 +1), AV$20 * $E$9, IF(AV$16 &lt;= 'Model_Assumptions'!$C$8, AV$20 * $C$9, IF(AV$16 &gt;= ('Model_Assumptions'!$C$8 + 1), AV$20 * $D$9))))</f>
        <v/>
      </c>
      <c r="AW21" s="21">
        <f>IF(AW$16 = "","", IF(AW$16 =( 'Model_Assumptions'!$B$8 +1), AW$20 * $E$9, IF(AW$16 &lt;= 'Model_Assumptions'!$C$8, AW$20 * $C$9, IF(AW$16 &gt;= ('Model_Assumptions'!$C$8 + 1), AW$20 * $D$9))))</f>
        <v/>
      </c>
      <c r="AX21" s="21">
        <f>IF(AX$16 = "","", IF(AX$16 =( 'Model_Assumptions'!$B$8 +1), AX$20 * $E$9, IF(AX$16 &lt;= 'Model_Assumptions'!$C$8, AX$20 * $C$9, IF(AX$16 &gt;= ('Model_Assumptions'!$C$8 + 1), AX$20 * $D$9))))</f>
        <v/>
      </c>
      <c r="AY21" s="21">
        <f>IF(AY$16 = "","", IF(AY$16 =( 'Model_Assumptions'!$B$8 +1), AY$20 * $E$9, IF(AY$16 &lt;= 'Model_Assumptions'!$C$8, AY$20 * $C$9, IF(AY$16 &gt;= ('Model_Assumptions'!$C$8 + 1), AY$20 * $D$9))))</f>
        <v/>
      </c>
      <c r="AZ21" s="21">
        <f>IF(AZ$16 = "","", IF(AZ$16 =( 'Model_Assumptions'!$B$8 +1), AZ$20 * $E$9, IF(AZ$16 &lt;= 'Model_Assumptions'!$C$8, AZ$20 * $C$9, IF(AZ$16 &gt;= ('Model_Assumptions'!$C$8 + 1), AZ$20 * $D$9))))</f>
        <v/>
      </c>
      <c r="BA21" s="21">
        <f>IF(BA$16 = "","", IF(BA$16 =( 'Model_Assumptions'!$B$8 +1), BA$20 * $E$9, IF(BA$16 &lt;= 'Model_Assumptions'!$C$8, BA$20 * $C$9, IF(BA$16 &gt;= ('Model_Assumptions'!$C$8 + 1), BA$20 * $D$9))))</f>
        <v/>
      </c>
      <c r="BB21" s="21">
        <f>IF(BB$16 = "","", IF(BB$16 =( 'Model_Assumptions'!$B$8 +1), BB$20 * $E$9, IF(BB$16 &lt;= 'Model_Assumptions'!$C$8, BB$20 * $C$9, IF(BB$16 &gt;= ('Model_Assumptions'!$C$8 + 1), BB$20 * $D$9))))</f>
        <v/>
      </c>
      <c r="BC21" s="21">
        <f>IF(BC$16 = "","", IF(BC$16 =( 'Model_Assumptions'!$B$8 +1), BC$20 * $E$9, IF(BC$16 &lt;= 'Model_Assumptions'!$C$8, BC$20 * $C$9, IF(BC$16 &gt;= ('Model_Assumptions'!$C$8 + 1), BC$20 * $D$9))))</f>
        <v/>
      </c>
      <c r="BD21" s="21">
        <f>IF(BD$16 = "","", IF(BD$16 =( 'Model_Assumptions'!$B$8 +1), BD$20 * $E$9, IF(BD$16 &lt;= 'Model_Assumptions'!$C$8, BD$20 * $C$9, IF(BD$16 &gt;= ('Model_Assumptions'!$C$8 + 1), BD$20 * $D$9))))</f>
        <v/>
      </c>
      <c r="BE21" s="21">
        <f>IF(BE$16 = "","", IF(BE$16 =( 'Model_Assumptions'!$B$8 +1), BE$20 * $E$9, IF(BE$16 &lt;= 'Model_Assumptions'!$C$8, BE$20 * $C$9, IF(BE$16 &gt;= ('Model_Assumptions'!$C$8 + 1), BE$20 * $D$9))))</f>
        <v/>
      </c>
      <c r="BF21" s="21">
        <f>IF(BF$16 = "","", IF(BF$16 =( 'Model_Assumptions'!$B$8 +1), BF$20 * $E$9, IF(BF$16 &lt;= 'Model_Assumptions'!$C$8, BF$20 * $C$9, IF(BF$16 &gt;= ('Model_Assumptions'!$C$8 + 1), BF$20 * $D$9))))</f>
        <v/>
      </c>
      <c r="BG21" s="21">
        <f>IF(BG$16 = "","", IF(BG$16 =( 'Model_Assumptions'!$B$8 +1), BG$20 * $E$9, IF(BG$16 &lt;= 'Model_Assumptions'!$C$8, BG$20 * $C$9, IF(BG$16 &gt;= ('Model_Assumptions'!$C$8 + 1), BG$20 * $D$9))))</f>
        <v/>
      </c>
      <c r="BH21" s="21">
        <f>IF(BH$16 = "","", IF(BH$16 =( 'Model_Assumptions'!$B$8 +1), BH$20 * $E$9, IF(BH$16 &lt;= 'Model_Assumptions'!$C$8, BH$20 * $C$9, IF(BH$16 &gt;= ('Model_Assumptions'!$C$8 + 1), BH$20 * $D$9))))</f>
        <v/>
      </c>
      <c r="BI21" s="21">
        <f>IF(BI$16 = "","", IF(BI$16 =( 'Model_Assumptions'!$B$8 +1), BI$20 * $E$9, IF(BI$16 &lt;= 'Model_Assumptions'!$C$8, BI$20 * $C$9, IF(BI$16 &gt;= ('Model_Assumptions'!$C$8 + 1), BI$20 * $D$9))))</f>
        <v/>
      </c>
      <c r="BJ21" s="21">
        <f>IF(BJ$16 = "","", IF(BJ$16 =( 'Model_Assumptions'!$B$8 +1), BJ$20 * $E$9, IF(BJ$16 &lt;= 'Model_Assumptions'!$C$8, BJ$20 * $C$9, IF(BJ$16 &gt;= ('Model_Assumptions'!$C$8 + 1), BJ$20 * $D$9))))</f>
        <v/>
      </c>
      <c r="BK21" s="21">
        <f>IF(BK$16 = "","", IF(BK$16 =( 'Model_Assumptions'!$B$8 +1), BK$20 * $E$9, IF(BK$16 &lt;= 'Model_Assumptions'!$C$8, BK$20 * $C$9, IF(BK$16 &gt;= ('Model_Assumptions'!$C$8 + 1), BK$20 * $D$9))))</f>
        <v/>
      </c>
      <c r="BL21" s="21">
        <f>IF(BL$16 = "","", IF(BL$16 =( 'Model_Assumptions'!$B$8 +1), BL$20 * $E$9, IF(BL$16 &lt;= 'Model_Assumptions'!$C$8, BL$20 * $C$9, IF(BL$16 &gt;= ('Model_Assumptions'!$C$8 + 1), BL$20 * $D$9))))</f>
        <v/>
      </c>
      <c r="BM21" s="21">
        <f>IF(BM$16 = "","", IF(BM$16 =( 'Model_Assumptions'!$B$8 +1), BM$20 * $E$9, IF(BM$16 &lt;= 'Model_Assumptions'!$C$8, BM$20 * $C$9, IF(BM$16 &gt;= ('Model_Assumptions'!$C$8 + 1), BM$20 * $D$9))))</f>
        <v/>
      </c>
      <c r="BN21" s="21">
        <f>IF(BN$16 = "","", IF(BN$16 =( 'Model_Assumptions'!$B$8 +1), BN$20 * $E$9, IF(BN$16 &lt;= 'Model_Assumptions'!$C$8, BN$20 * $C$9, IF(BN$16 &gt;= ('Model_Assumptions'!$C$8 + 1), BN$20 * $D$9))))</f>
        <v/>
      </c>
      <c r="BO21" s="21">
        <f>IF(BO$16 = "","", IF(BO$16 =( 'Model_Assumptions'!$B$8 +1), BO$20 * $E$9, IF(BO$16 &lt;= 'Model_Assumptions'!$C$8, BO$20 * $C$9, IF(BO$16 &gt;= ('Model_Assumptions'!$C$8 + 1), BO$20 * $D$9))))</f>
        <v/>
      </c>
      <c r="BP21" s="21">
        <f>IF(BP$16 = "","", IF(BP$16 =( 'Model_Assumptions'!$B$8 +1), BP$20 * $E$9, IF(BP$16 &lt;= 'Model_Assumptions'!$C$8, BP$20 * $C$9, IF(BP$16 &gt;= ('Model_Assumptions'!$C$8 + 1), BP$20 * $D$9))))</f>
        <v/>
      </c>
      <c r="BQ21" s="21">
        <f>IF(BQ$16 = "","", IF(BQ$16 =( 'Model_Assumptions'!$B$8 +1), BQ$20 * $E$9, IF(BQ$16 &lt;= 'Model_Assumptions'!$C$8, BQ$20 * $C$9, IF(BQ$16 &gt;= ('Model_Assumptions'!$C$8 + 1), BQ$20 * $D$9))))</f>
        <v/>
      </c>
      <c r="BR21" s="21">
        <f>IF(BR$16 = "","", IF(BR$16 =( 'Model_Assumptions'!$B$8 +1), BR$20 * $E$9, IF(BR$16 &lt;= 'Model_Assumptions'!$C$8, BR$20 * $C$9, IF(BR$16 &gt;= ('Model_Assumptions'!$C$8 + 1), BR$20 * $D$9))))</f>
        <v/>
      </c>
      <c r="BS21" s="21">
        <f>IF(BS$16 = "","", IF(BS$16 =( 'Model_Assumptions'!$B$8 +1), BS$20 * $E$9, IF(BS$16 &lt;= 'Model_Assumptions'!$C$8, BS$20 * $C$9, IF(BS$16 &gt;= ('Model_Assumptions'!$C$8 + 1), BS$20 * $D$9))))</f>
        <v/>
      </c>
      <c r="BT21" s="21">
        <f>IF(BT$16 = "","", IF(BT$16 =( 'Model_Assumptions'!$B$8 +1), BT$20 * $E$9, IF(BT$16 &lt;= 'Model_Assumptions'!$C$8, BT$20 * $C$9, IF(BT$16 &gt;= ('Model_Assumptions'!$C$8 + 1), BT$20 * $D$9))))</f>
        <v/>
      </c>
      <c r="BU21" s="21">
        <f>IF(BU$16 = "","", IF(BU$16 =( 'Model_Assumptions'!$B$8 +1), BU$20 * $E$9, IF(BU$16 &lt;= 'Model_Assumptions'!$C$8, BU$20 * $C$9, IF(BU$16 &gt;= ('Model_Assumptions'!$C$8 + 1), BU$20 * $D$9))))</f>
        <v/>
      </c>
      <c r="BV21" s="21">
        <f>IF(BV$16 = "","", IF(BV$16 =( 'Model_Assumptions'!$B$8 +1), BV$20 * $E$9, IF(BV$16 &lt;= 'Model_Assumptions'!$C$8, BV$20 * $C$9, IF(BV$16 &gt;= ('Model_Assumptions'!$C$8 + 1), BV$20 * $D$9))))</f>
        <v/>
      </c>
      <c r="BW21" s="21">
        <f>IF(BW$16 = "","", IF(BW$16 =( 'Model_Assumptions'!$B$8 +1), BW$20 * $E$9, IF(BW$16 &lt;= 'Model_Assumptions'!$C$8, BW$20 * $C$9, IF(BW$16 &gt;= ('Model_Assumptions'!$C$8 + 1), BW$20 * $D$9))))</f>
        <v/>
      </c>
      <c r="BX21" s="21">
        <f>IF(BX$16 = "","", IF(BX$16 =( 'Model_Assumptions'!$B$8 +1), BX$20 * $E$9, IF(BX$16 &lt;= 'Model_Assumptions'!$C$8, BX$20 * $C$9, IF(BX$16 &gt;= ('Model_Assumptions'!$C$8 + 1), BX$20 * $D$9))))</f>
        <v/>
      </c>
      <c r="BY21" s="21">
        <f>IF(BY$16 = "","", IF(BY$16 =( 'Model_Assumptions'!$B$8 +1), BY$20 * $E$9, IF(BY$16 &lt;= 'Model_Assumptions'!$C$8, BY$20 * $C$9, IF(BY$16 &gt;= ('Model_Assumptions'!$C$8 + 1), BY$20 * $D$9))))</f>
        <v/>
      </c>
      <c r="BZ21" s="21">
        <f>IF(BZ$16 = "","", IF(BZ$16 =( 'Model_Assumptions'!$B$8 +1), BZ$20 * $E$9, IF(BZ$16 &lt;= 'Model_Assumptions'!$C$8, BZ$20 * $C$9, IF(BZ$16 &gt;= ('Model_Assumptions'!$C$8 + 1), BZ$20 * $D$9))))</f>
        <v/>
      </c>
      <c r="CA21" s="21">
        <f>IF(CA$16 = "","", IF(CA$16 =( 'Model_Assumptions'!$B$8 +1), CA$20 * $E$9, IF(CA$16 &lt;= 'Model_Assumptions'!$C$8, CA$20 * $C$9, IF(CA$16 &gt;= ('Model_Assumptions'!$C$8 + 1), CA$20 * $D$9))))</f>
        <v/>
      </c>
      <c r="CB21" s="21">
        <f>IF(CB$16 = "","", IF(CB$16 =( 'Model_Assumptions'!$B$8 +1), CB$20 * $E$9, IF(CB$16 &lt;= 'Model_Assumptions'!$C$8, CB$20 * $C$9, IF(CB$16 &gt;= ('Model_Assumptions'!$C$8 + 1), CB$20 * $D$9))))</f>
        <v/>
      </c>
      <c r="CC21" s="21">
        <f>IF(CC$16 = "","", IF(CC$16 =( 'Model_Assumptions'!$B$8 +1), CC$20 * $E$9, IF(CC$16 &lt;= 'Model_Assumptions'!$C$8, CC$20 * $C$9, IF(CC$16 &gt;= ('Model_Assumptions'!$C$8 + 1), CC$20 * $D$9))))</f>
        <v/>
      </c>
      <c r="CD21" s="21">
        <f>IF(CD$16 = "","", IF(CD$16 =( 'Model_Assumptions'!$B$8 +1), CD$20 * $E$9, IF(CD$16 &lt;= 'Model_Assumptions'!$C$8, CD$20 * $C$9, IF(CD$16 &gt;= ('Model_Assumptions'!$C$8 + 1), CD$20 * $D$9))))</f>
        <v/>
      </c>
      <c r="CE21" s="21">
        <f>IF(CE$16 = "","", IF(CE$16 =( 'Model_Assumptions'!$B$8 +1), CE$20 * $E$9, IF(CE$16 &lt;= 'Model_Assumptions'!$C$8, CE$20 * $C$9, IF(CE$16 &gt;= ('Model_Assumptions'!$C$8 + 1), CE$20 * $D$9))))</f>
        <v/>
      </c>
      <c r="CF21" s="21">
        <f>IF(CF$16 = "","", IF(CF$16 =( 'Model_Assumptions'!$B$8 +1), CF$20 * $E$9, IF(CF$16 &lt;= 'Model_Assumptions'!$C$8, CF$20 * $C$9, IF(CF$16 &gt;= ('Model_Assumptions'!$C$8 + 1), CF$20 * $D$9))))</f>
        <v/>
      </c>
      <c r="CG21" s="21">
        <f>IF(CG$16 = "","", IF(CG$16 =( 'Model_Assumptions'!$B$8 +1), CG$20 * $E$9, IF(CG$16 &lt;= 'Model_Assumptions'!$C$8, CG$20 * $C$9, IF(CG$16 &gt;= ('Model_Assumptions'!$C$8 + 1), CG$20 * $D$9))))</f>
        <v/>
      </c>
      <c r="CH21" s="21">
        <f>IF(CH$16 = "","", IF(CH$16 =( 'Model_Assumptions'!$B$8 +1), CH$20 * $E$9, IF(CH$16 &lt;= 'Model_Assumptions'!$C$8, CH$20 * $C$9, IF(CH$16 &gt;= ('Model_Assumptions'!$C$8 + 1), CH$20 * $D$9))))</f>
        <v/>
      </c>
      <c r="CI21" s="21">
        <f>IF(CI$16 = "","", IF(CI$16 =( 'Model_Assumptions'!$B$8 +1), CI$20 * $E$9, IF(CI$16 &lt;= 'Model_Assumptions'!$C$8, CI$20 * $C$9, IF(CI$16 &gt;= ('Model_Assumptions'!$C$8 + 1), CI$20 * $D$9))))</f>
        <v/>
      </c>
      <c r="CJ21" s="21">
        <f>IF(CJ$16 = "","", IF(CJ$16 =( 'Model_Assumptions'!$B$8 +1), CJ$20 * $E$9, IF(CJ$16 &lt;= 'Model_Assumptions'!$C$8, CJ$20 * $C$9, IF(CJ$16 &gt;= ('Model_Assumptions'!$C$8 + 1), CJ$20 * $D$9))))</f>
        <v/>
      </c>
      <c r="CK21" s="21">
        <f>IF(CK$16 = "","", IF(CK$16 =( 'Model_Assumptions'!$B$8 +1), CK$20 * $E$9, IF(CK$16 &lt;= 'Model_Assumptions'!$C$8, CK$20 * $C$9, IF(CK$16 &gt;= ('Model_Assumptions'!$C$8 + 1), CK$20 * $D$9))))</f>
        <v/>
      </c>
      <c r="CL21" s="21">
        <f>IF(CL$16 = "","", IF(CL$16 =( 'Model_Assumptions'!$B$8 +1), CL$20 * $E$9, IF(CL$16 &lt;= 'Model_Assumptions'!$C$8, CL$20 * $C$9, IF(CL$16 &gt;= ('Model_Assumptions'!$C$8 + 1), CL$20 * $D$9))))</f>
        <v/>
      </c>
      <c r="CM21" s="22">
        <f>IF(CM$16 = "","", IF(CM$16 =( 'Model_Assumptions'!$B$8 +1), CM$20 * $E$9, IF(CM$16 &lt;= 'Model_Assumptions'!$C$8, CM$20 * $C$9, IF(CM$16 &gt;= ('Model_Assumptions'!$C$8 + 1), CM$20 * $D$9))))</f>
        <v/>
      </c>
    </row>
    <row r="22">
      <c r="B22" s="19" t="inlineStr">
        <is>
          <t>Change in Working Capital</t>
        </is>
      </c>
      <c r="C22" s="20" t="inlineStr"/>
      <c r="D22" s="21">
        <f>IF(D$16="","",IF(D$16=('Model_Assumptions'!$B$8+1),( D$17-C$17)*$E$12,IF(D$16&lt;='Model_Assumptions'!$C$8,( D$17-C$17)*$C$12,IF(D$16&gt;=('Model_Assumptions'!$C$8 + 1), ( D$17-C$17)*$D$12, ""))))</f>
        <v/>
      </c>
      <c r="E22" s="21">
        <f>IF(E$16="","",IF(E$16=('Model_Assumptions'!$B$8+1),( E$17-D$17)*$E$12,IF(E$16&lt;='Model_Assumptions'!$C$8,( E$17-D$17)*$C$12,IF(E$16&gt;=('Model_Assumptions'!$C$8 + 1), ( E$17-D$17)*$D$12, ""))))</f>
        <v/>
      </c>
      <c r="F22" s="21">
        <f>IF(F$16="","",IF(F$16=('Model_Assumptions'!$B$8+1),( F$17-E$17)*$E$12,IF(F$16&lt;='Model_Assumptions'!$C$8,( F$17-E$17)*$C$12,IF(F$16&gt;=('Model_Assumptions'!$C$8 + 1), ( F$17-E$17)*$D$12, ""))))</f>
        <v/>
      </c>
      <c r="G22" s="21">
        <f>IF(G$16="","",IF(G$16=('Model_Assumptions'!$B$8+1),( G$17-F$17)*$E$12,IF(G$16&lt;='Model_Assumptions'!$C$8,( G$17-F$17)*$C$12,IF(G$16&gt;=('Model_Assumptions'!$C$8 + 1), ( G$17-F$17)*$D$12, ""))))</f>
        <v/>
      </c>
      <c r="H22" s="21">
        <f>IF(H$16="","",IF(H$16=('Model_Assumptions'!$B$8+1),( H$17-G$17)*$E$12,IF(H$16&lt;='Model_Assumptions'!$C$8,( H$17-G$17)*$C$12,IF(H$16&gt;=('Model_Assumptions'!$C$8 + 1), ( H$17-G$17)*$D$12, ""))))</f>
        <v/>
      </c>
      <c r="I22" s="21">
        <f>IF(I$16="","",IF(I$16=('Model_Assumptions'!$B$8+1),( I$17-H$17)*$E$12,IF(I$16&lt;='Model_Assumptions'!$C$8,( I$17-H$17)*$C$12,IF(I$16&gt;=('Model_Assumptions'!$C$8 + 1), ( I$17-H$17)*$D$12, ""))))</f>
        <v/>
      </c>
      <c r="J22" s="21">
        <f>IF(J$16="","",IF(J$16=('Model_Assumptions'!$B$8+1),( J$17-I$17)*$E$12,IF(J$16&lt;='Model_Assumptions'!$C$8,( J$17-I$17)*$C$12,IF(J$16&gt;=('Model_Assumptions'!$C$8 + 1), ( J$17-I$17)*$D$12, ""))))</f>
        <v/>
      </c>
      <c r="K22" s="21">
        <f>IF(K$16="","",IF(K$16=('Model_Assumptions'!$B$8+1),( K$17-J$17)*$E$12,IF(K$16&lt;='Model_Assumptions'!$C$8,( K$17-J$17)*$C$12,IF(K$16&gt;=('Model_Assumptions'!$C$8 + 1), ( K$17-J$17)*$D$12, ""))))</f>
        <v/>
      </c>
      <c r="L22" s="21">
        <f>IF(L$16="","",IF(L$16=('Model_Assumptions'!$B$8+1),( L$17-K$17)*$E$12,IF(L$16&lt;='Model_Assumptions'!$C$8,( L$17-K$17)*$C$12,IF(L$16&gt;=('Model_Assumptions'!$C$8 + 1), ( L$17-K$17)*$D$12, ""))))</f>
        <v/>
      </c>
      <c r="M22" s="21">
        <f>IF(M$16="","",IF(M$16=('Model_Assumptions'!$B$8+1),( M$17-L$17)*$E$12,IF(M$16&lt;='Model_Assumptions'!$C$8,( M$17-L$17)*$C$12,IF(M$16&gt;=('Model_Assumptions'!$C$8 + 1), ( M$17-L$17)*$D$12, ""))))</f>
        <v/>
      </c>
      <c r="N22" s="21">
        <f>IF(N$16="","",IF(N$16=('Model_Assumptions'!$B$8+1),( N$17-M$17)*$E$12,IF(N$16&lt;='Model_Assumptions'!$C$8,( N$17-M$17)*$C$12,IF(N$16&gt;=('Model_Assumptions'!$C$8 + 1), ( N$17-M$17)*$D$12, ""))))</f>
        <v/>
      </c>
      <c r="O22" s="21">
        <f>IF(O$16="","",IF(O$16=('Model_Assumptions'!$B$8+1),( O$17-N$17)*$E$12,IF(O$16&lt;='Model_Assumptions'!$C$8,( O$17-N$17)*$C$12,IF(O$16&gt;=('Model_Assumptions'!$C$8 + 1), ( O$17-N$17)*$D$12, ""))))</f>
        <v/>
      </c>
      <c r="P22" s="21">
        <f>IF(P$16="","",IF(P$16=('Model_Assumptions'!$B$8+1),( P$17-O$17)*$E$12,IF(P$16&lt;='Model_Assumptions'!$C$8,( P$17-O$17)*$C$12,IF(P$16&gt;=('Model_Assumptions'!$C$8 + 1), ( P$17-O$17)*$D$12, ""))))</f>
        <v/>
      </c>
      <c r="Q22" s="21">
        <f>IF(Q$16="","",IF(Q$16=('Model_Assumptions'!$B$8+1),( Q$17-P$17)*$E$12,IF(Q$16&lt;='Model_Assumptions'!$C$8,( Q$17-P$17)*$C$12,IF(Q$16&gt;=('Model_Assumptions'!$C$8 + 1), ( Q$17-P$17)*$D$12, ""))))</f>
        <v/>
      </c>
      <c r="R22" s="21">
        <f>IF(R$16="","",IF(R$16=('Model_Assumptions'!$B$8+1),( R$17-Q$17)*$E$12,IF(R$16&lt;='Model_Assumptions'!$C$8,( R$17-Q$17)*$C$12,IF(R$16&gt;=('Model_Assumptions'!$C$8 + 1), ( R$17-Q$17)*$D$12, ""))))</f>
        <v/>
      </c>
      <c r="S22" s="21">
        <f>IF(S$16="","",IF(S$16=('Model_Assumptions'!$B$8+1),( S$17-R$17)*$E$12,IF(S$16&lt;='Model_Assumptions'!$C$8,( S$17-R$17)*$C$12,IF(S$16&gt;=('Model_Assumptions'!$C$8 + 1), ( S$17-R$17)*$D$12, ""))))</f>
        <v/>
      </c>
      <c r="T22" s="21">
        <f>IF(T$16="","",IF(T$16=('Model_Assumptions'!$B$8+1),( T$17-S$17)*$E$12,IF(T$16&lt;='Model_Assumptions'!$C$8,( T$17-S$17)*$C$12,IF(T$16&gt;=('Model_Assumptions'!$C$8 + 1), ( T$17-S$17)*$D$12, ""))))</f>
        <v/>
      </c>
      <c r="U22" s="21">
        <f>IF(U$16="","",IF(U$16=('Model_Assumptions'!$B$8+1),( U$17-T$17)*$E$12,IF(U$16&lt;='Model_Assumptions'!$C$8,( U$17-T$17)*$C$12,IF(U$16&gt;=('Model_Assumptions'!$C$8 + 1), ( U$17-T$17)*$D$12, ""))))</f>
        <v/>
      </c>
      <c r="V22" s="21">
        <f>IF(V$16="","",IF(V$16=('Model_Assumptions'!$B$8+1),( V$17-U$17)*$E$12,IF(V$16&lt;='Model_Assumptions'!$C$8,( V$17-U$17)*$C$12,IF(V$16&gt;=('Model_Assumptions'!$C$8 + 1), ( V$17-U$17)*$D$12, ""))))</f>
        <v/>
      </c>
      <c r="W22" s="21">
        <f>IF(W$16="","",IF(W$16=('Model_Assumptions'!$B$8+1),( W$17-V$17)*$E$12,IF(W$16&lt;='Model_Assumptions'!$C$8,( W$17-V$17)*$C$12,IF(W$16&gt;=('Model_Assumptions'!$C$8 + 1), ( W$17-V$17)*$D$12, ""))))</f>
        <v/>
      </c>
      <c r="X22" s="21">
        <f>IF(X$16="","",IF(X$16=('Model_Assumptions'!$B$8+1),( X$17-W$17)*$E$12,IF(X$16&lt;='Model_Assumptions'!$C$8,( X$17-W$17)*$C$12,IF(X$16&gt;=('Model_Assumptions'!$C$8 + 1), ( X$17-W$17)*$D$12, ""))))</f>
        <v/>
      </c>
      <c r="Y22" s="21">
        <f>IF(Y$16="","",IF(Y$16=('Model_Assumptions'!$B$8+1),( Y$17-X$17)*$E$12,IF(Y$16&lt;='Model_Assumptions'!$C$8,( Y$17-X$17)*$C$12,IF(Y$16&gt;=('Model_Assumptions'!$C$8 + 1), ( Y$17-X$17)*$D$12, ""))))</f>
        <v/>
      </c>
      <c r="Z22" s="21">
        <f>IF(Z$16="","",IF(Z$16=('Model_Assumptions'!$B$8+1),( Z$17-Y$17)*$E$12,IF(Z$16&lt;='Model_Assumptions'!$C$8,( Z$17-Y$17)*$C$12,IF(Z$16&gt;=('Model_Assumptions'!$C$8 + 1), ( Z$17-Y$17)*$D$12, ""))))</f>
        <v/>
      </c>
      <c r="AA22" s="21">
        <f>IF(AA$16="","",IF(AA$16=('Model_Assumptions'!$B$8+1),( AA$17-Z$17)*$E$12,IF(AA$16&lt;='Model_Assumptions'!$C$8,( AA$17-Z$17)*$C$12,IF(AA$16&gt;=('Model_Assumptions'!$C$8 + 1), ( AA$17-Z$17)*$D$12, ""))))</f>
        <v/>
      </c>
      <c r="AB22" s="21">
        <f>IF(AB$16="","",IF(AB$16=('Model_Assumptions'!$B$8+1),( AB$17-AA$17)*$E$12,IF(AB$16&lt;='Model_Assumptions'!$C$8,( AB$17-AA$17)*$C$12,IF(AB$16&gt;=('Model_Assumptions'!$C$8 + 1), ( AB$17-AA$17)*$D$12, ""))))</f>
        <v/>
      </c>
      <c r="AC22" s="21">
        <f>IF(AC$16="","",IF(AC$16=('Model_Assumptions'!$B$8+1),( AC$17-AB$17)*$E$12,IF(AC$16&lt;='Model_Assumptions'!$C$8,( AC$17-AB$17)*$C$12,IF(AC$16&gt;=('Model_Assumptions'!$C$8 + 1), ( AC$17-AB$17)*$D$12, ""))))</f>
        <v/>
      </c>
      <c r="AD22" s="21">
        <f>IF(AD$16="","",IF(AD$16=('Model_Assumptions'!$B$8+1),( AD$17-AC$17)*$E$12,IF(AD$16&lt;='Model_Assumptions'!$C$8,( AD$17-AC$17)*$C$12,IF(AD$16&gt;=('Model_Assumptions'!$C$8 + 1), ( AD$17-AC$17)*$D$12, ""))))</f>
        <v/>
      </c>
      <c r="AE22" s="21">
        <f>IF(AE$16="","",IF(AE$16=('Model_Assumptions'!$B$8+1),( AE$17-AD$17)*$E$12,IF(AE$16&lt;='Model_Assumptions'!$C$8,( AE$17-AD$17)*$C$12,IF(AE$16&gt;=('Model_Assumptions'!$C$8 + 1), ( AE$17-AD$17)*$D$12, ""))))</f>
        <v/>
      </c>
      <c r="AF22" s="21">
        <f>IF(AF$16="","",IF(AF$16=('Model_Assumptions'!$B$8+1),( AF$17-AE$17)*$E$12,IF(AF$16&lt;='Model_Assumptions'!$C$8,( AF$17-AE$17)*$C$12,IF(AF$16&gt;=('Model_Assumptions'!$C$8 + 1), ( AF$17-AE$17)*$D$12, ""))))</f>
        <v/>
      </c>
      <c r="AG22" s="21">
        <f>IF(AG$16="","",IF(AG$16=('Model_Assumptions'!$B$8+1),( AG$17-AF$17)*$E$12,IF(AG$16&lt;='Model_Assumptions'!$C$8,( AG$17-AF$17)*$C$12,IF(AG$16&gt;=('Model_Assumptions'!$C$8 + 1), ( AG$17-AF$17)*$D$12, ""))))</f>
        <v/>
      </c>
      <c r="AH22" s="21">
        <f>IF(AH$16="","",IF(AH$16=('Model_Assumptions'!$B$8+1),( AH$17-AG$17)*$E$12,IF(AH$16&lt;='Model_Assumptions'!$C$8,( AH$17-AG$17)*$C$12,IF(AH$16&gt;=('Model_Assumptions'!$C$8 + 1), ( AH$17-AG$17)*$D$12, ""))))</f>
        <v/>
      </c>
      <c r="AI22" s="21">
        <f>IF(AI$16="","",IF(AI$16=('Model_Assumptions'!$B$8+1),( AI$17-AH$17)*$E$12,IF(AI$16&lt;='Model_Assumptions'!$C$8,( AI$17-AH$17)*$C$12,IF(AI$16&gt;=('Model_Assumptions'!$C$8 + 1), ( AI$17-AH$17)*$D$12, ""))))</f>
        <v/>
      </c>
      <c r="AJ22" s="21">
        <f>IF(AJ$16="","",IF(AJ$16=('Model_Assumptions'!$B$8+1),( AJ$17-AI$17)*$E$12,IF(AJ$16&lt;='Model_Assumptions'!$C$8,( AJ$17-AI$17)*$C$12,IF(AJ$16&gt;=('Model_Assumptions'!$C$8 + 1), ( AJ$17-AI$17)*$D$12, ""))))</f>
        <v/>
      </c>
      <c r="AK22" s="21">
        <f>IF(AK$16="","",IF(AK$16=('Model_Assumptions'!$B$8+1),( AK$17-AJ$17)*$E$12,IF(AK$16&lt;='Model_Assumptions'!$C$8,( AK$17-AJ$17)*$C$12,IF(AK$16&gt;=('Model_Assumptions'!$C$8 + 1), ( AK$17-AJ$17)*$D$12, ""))))</f>
        <v/>
      </c>
      <c r="AL22" s="21">
        <f>IF(AL$16="","",IF(AL$16=('Model_Assumptions'!$B$8+1),( AL$17-AK$17)*$E$12,IF(AL$16&lt;='Model_Assumptions'!$C$8,( AL$17-AK$17)*$C$12,IF(AL$16&gt;=('Model_Assumptions'!$C$8 + 1), ( AL$17-AK$17)*$D$12, ""))))</f>
        <v/>
      </c>
      <c r="AM22" s="21">
        <f>IF(AM$16="","",IF(AM$16=('Model_Assumptions'!$B$8+1),( AM$17-AL$17)*$E$12,IF(AM$16&lt;='Model_Assumptions'!$C$8,( AM$17-AL$17)*$C$12,IF(AM$16&gt;=('Model_Assumptions'!$C$8 + 1), ( AM$17-AL$17)*$D$12, ""))))</f>
        <v/>
      </c>
      <c r="AN22" s="21">
        <f>IF(AN$16="","",IF(AN$16=('Model_Assumptions'!$B$8+1),( AN$17-AM$17)*$E$12,IF(AN$16&lt;='Model_Assumptions'!$C$8,( AN$17-AM$17)*$C$12,IF(AN$16&gt;=('Model_Assumptions'!$C$8 + 1), ( AN$17-AM$17)*$D$12, ""))))</f>
        <v/>
      </c>
      <c r="AO22" s="21">
        <f>IF(AO$16="","",IF(AO$16=('Model_Assumptions'!$B$8+1),( AO$17-AN$17)*$E$12,IF(AO$16&lt;='Model_Assumptions'!$C$8,( AO$17-AN$17)*$C$12,IF(AO$16&gt;=('Model_Assumptions'!$C$8 + 1), ( AO$17-AN$17)*$D$12, ""))))</f>
        <v/>
      </c>
      <c r="AP22" s="21">
        <f>IF(AP$16="","",IF(AP$16=('Model_Assumptions'!$B$8+1),( AP$17-AO$17)*$E$12,IF(AP$16&lt;='Model_Assumptions'!$C$8,( AP$17-AO$17)*$C$12,IF(AP$16&gt;=('Model_Assumptions'!$C$8 + 1), ( AP$17-AO$17)*$D$12, ""))))</f>
        <v/>
      </c>
      <c r="AQ22" s="21">
        <f>IF(AQ$16="","",IF(AQ$16=('Model_Assumptions'!$B$8+1),( AQ$17-AP$17)*$E$12,IF(AQ$16&lt;='Model_Assumptions'!$C$8,( AQ$17-AP$17)*$C$12,IF(AQ$16&gt;=('Model_Assumptions'!$C$8 + 1), ( AQ$17-AP$17)*$D$12, ""))))</f>
        <v/>
      </c>
      <c r="AR22" s="21">
        <f>IF(AR$16="","",IF(AR$16=('Model_Assumptions'!$B$8+1),( AR$17-AQ$17)*$E$12,IF(AR$16&lt;='Model_Assumptions'!$C$8,( AR$17-AQ$17)*$C$12,IF(AR$16&gt;=('Model_Assumptions'!$C$8 + 1), ( AR$17-AQ$17)*$D$12, ""))))</f>
        <v/>
      </c>
      <c r="AS22" s="21">
        <f>IF(AS$16="","",IF(AS$16=('Model_Assumptions'!$B$8+1),( AS$17-AR$17)*$E$12,IF(AS$16&lt;='Model_Assumptions'!$C$8,( AS$17-AR$17)*$C$12,IF(AS$16&gt;=('Model_Assumptions'!$C$8 + 1), ( AS$17-AR$17)*$D$12, ""))))</f>
        <v/>
      </c>
      <c r="AT22" s="21">
        <f>IF(AT$16="","",IF(AT$16=('Model_Assumptions'!$B$8+1),( AT$17-AS$17)*$E$12,IF(AT$16&lt;='Model_Assumptions'!$C$8,( AT$17-AS$17)*$C$12,IF(AT$16&gt;=('Model_Assumptions'!$C$8 + 1), ( AT$17-AS$17)*$D$12, ""))))</f>
        <v/>
      </c>
      <c r="AU22" s="21">
        <f>IF(AU$16="","",IF(AU$16=('Model_Assumptions'!$B$8+1),( AU$17-AT$17)*$E$12,IF(AU$16&lt;='Model_Assumptions'!$C$8,( AU$17-AT$17)*$C$12,IF(AU$16&gt;=('Model_Assumptions'!$C$8 + 1), ( AU$17-AT$17)*$D$12, ""))))</f>
        <v/>
      </c>
      <c r="AV22" s="21">
        <f>IF(AV$16="","",IF(AV$16=('Model_Assumptions'!$B$8+1),( AV$17-AU$17)*$E$12,IF(AV$16&lt;='Model_Assumptions'!$C$8,( AV$17-AU$17)*$C$12,IF(AV$16&gt;=('Model_Assumptions'!$C$8 + 1), ( AV$17-AU$17)*$D$12, ""))))</f>
        <v/>
      </c>
      <c r="AW22" s="21">
        <f>IF(AW$16="","",IF(AW$16=('Model_Assumptions'!$B$8+1),( AW$17-AV$17)*$E$12,IF(AW$16&lt;='Model_Assumptions'!$C$8,( AW$17-AV$17)*$C$12,IF(AW$16&gt;=('Model_Assumptions'!$C$8 + 1), ( AW$17-AV$17)*$D$12, ""))))</f>
        <v/>
      </c>
      <c r="AX22" s="21">
        <f>IF(AX$16="","",IF(AX$16=('Model_Assumptions'!$B$8+1),( AX$17-AW$17)*$E$12,IF(AX$16&lt;='Model_Assumptions'!$C$8,( AX$17-AW$17)*$C$12,IF(AX$16&gt;=('Model_Assumptions'!$C$8 + 1), ( AX$17-AW$17)*$D$12, ""))))</f>
        <v/>
      </c>
      <c r="AY22" s="21">
        <f>IF(AY$16="","",IF(AY$16=('Model_Assumptions'!$B$8+1),( AY$17-AX$17)*$E$12,IF(AY$16&lt;='Model_Assumptions'!$C$8,( AY$17-AX$17)*$C$12,IF(AY$16&gt;=('Model_Assumptions'!$C$8 + 1), ( AY$17-AX$17)*$D$12, ""))))</f>
        <v/>
      </c>
      <c r="AZ22" s="21">
        <f>IF(AZ$16="","",IF(AZ$16=('Model_Assumptions'!$B$8+1),( AZ$17-AY$17)*$E$12,IF(AZ$16&lt;='Model_Assumptions'!$C$8,( AZ$17-AY$17)*$C$12,IF(AZ$16&gt;=('Model_Assumptions'!$C$8 + 1), ( AZ$17-AY$17)*$D$12, ""))))</f>
        <v/>
      </c>
      <c r="BA22" s="21">
        <f>IF(BA$16="","",IF(BA$16=('Model_Assumptions'!$B$8+1),( BA$17-AZ$17)*$E$12,IF(BA$16&lt;='Model_Assumptions'!$C$8,( BA$17-AZ$17)*$C$12,IF(BA$16&gt;=('Model_Assumptions'!$C$8 + 1), ( BA$17-AZ$17)*$D$12, ""))))</f>
        <v/>
      </c>
      <c r="BB22" s="21">
        <f>IF(BB$16="","",IF(BB$16=('Model_Assumptions'!$B$8+1),( BB$17-BA$17)*$E$12,IF(BB$16&lt;='Model_Assumptions'!$C$8,( BB$17-BA$17)*$C$12,IF(BB$16&gt;=('Model_Assumptions'!$C$8 + 1), ( BB$17-BA$17)*$D$12, ""))))</f>
        <v/>
      </c>
      <c r="BC22" s="21">
        <f>IF(BC$16="","",IF(BC$16=('Model_Assumptions'!$B$8+1),( BC$17-BB$17)*$E$12,IF(BC$16&lt;='Model_Assumptions'!$C$8,( BC$17-BB$17)*$C$12,IF(BC$16&gt;=('Model_Assumptions'!$C$8 + 1), ( BC$17-BB$17)*$D$12, ""))))</f>
        <v/>
      </c>
      <c r="BD22" s="21">
        <f>IF(BD$16="","",IF(BD$16=('Model_Assumptions'!$B$8+1),( BD$17-BC$17)*$E$12,IF(BD$16&lt;='Model_Assumptions'!$C$8,( BD$17-BC$17)*$C$12,IF(BD$16&gt;=('Model_Assumptions'!$C$8 + 1), ( BD$17-BC$17)*$D$12, ""))))</f>
        <v/>
      </c>
      <c r="BE22" s="21">
        <f>IF(BE$16="","",IF(BE$16=('Model_Assumptions'!$B$8+1),( BE$17-BD$17)*$E$12,IF(BE$16&lt;='Model_Assumptions'!$C$8,( BE$17-BD$17)*$C$12,IF(BE$16&gt;=('Model_Assumptions'!$C$8 + 1), ( BE$17-BD$17)*$D$12, ""))))</f>
        <v/>
      </c>
      <c r="BF22" s="21">
        <f>IF(BF$16="","",IF(BF$16=('Model_Assumptions'!$B$8+1),( BF$17-BE$17)*$E$12,IF(BF$16&lt;='Model_Assumptions'!$C$8,( BF$17-BE$17)*$C$12,IF(BF$16&gt;=('Model_Assumptions'!$C$8 + 1), ( BF$17-BE$17)*$D$12, ""))))</f>
        <v/>
      </c>
      <c r="BG22" s="21">
        <f>IF(BG$16="","",IF(BG$16=('Model_Assumptions'!$B$8+1),( BG$17-BF$17)*$E$12,IF(BG$16&lt;='Model_Assumptions'!$C$8,( BG$17-BF$17)*$C$12,IF(BG$16&gt;=('Model_Assumptions'!$C$8 + 1), ( BG$17-BF$17)*$D$12, ""))))</f>
        <v/>
      </c>
      <c r="BH22" s="21">
        <f>IF(BH$16="","",IF(BH$16=('Model_Assumptions'!$B$8+1),( BH$17-BG$17)*$E$12,IF(BH$16&lt;='Model_Assumptions'!$C$8,( BH$17-BG$17)*$C$12,IF(BH$16&gt;=('Model_Assumptions'!$C$8 + 1), ( BH$17-BG$17)*$D$12, ""))))</f>
        <v/>
      </c>
      <c r="BI22" s="21">
        <f>IF(BI$16="","",IF(BI$16=('Model_Assumptions'!$B$8+1),( BI$17-BH$17)*$E$12,IF(BI$16&lt;='Model_Assumptions'!$C$8,( BI$17-BH$17)*$C$12,IF(BI$16&gt;=('Model_Assumptions'!$C$8 + 1), ( BI$17-BH$17)*$D$12, ""))))</f>
        <v/>
      </c>
      <c r="BJ22" s="21">
        <f>IF(BJ$16="","",IF(BJ$16=('Model_Assumptions'!$B$8+1),( BJ$17-BI$17)*$E$12,IF(BJ$16&lt;='Model_Assumptions'!$C$8,( BJ$17-BI$17)*$C$12,IF(BJ$16&gt;=('Model_Assumptions'!$C$8 + 1), ( BJ$17-BI$17)*$D$12, ""))))</f>
        <v/>
      </c>
      <c r="BK22" s="21">
        <f>IF(BK$16="","",IF(BK$16=('Model_Assumptions'!$B$8+1),( BK$17-BJ$17)*$E$12,IF(BK$16&lt;='Model_Assumptions'!$C$8,( BK$17-BJ$17)*$C$12,IF(BK$16&gt;=('Model_Assumptions'!$C$8 + 1), ( BK$17-BJ$17)*$D$12, ""))))</f>
        <v/>
      </c>
      <c r="BL22" s="21">
        <f>IF(BL$16="","",IF(BL$16=('Model_Assumptions'!$B$8+1),( BL$17-BK$17)*$E$12,IF(BL$16&lt;='Model_Assumptions'!$C$8,( BL$17-BK$17)*$C$12,IF(BL$16&gt;=('Model_Assumptions'!$C$8 + 1), ( BL$17-BK$17)*$D$12, ""))))</f>
        <v/>
      </c>
      <c r="BM22" s="21">
        <f>IF(BM$16="","",IF(BM$16=('Model_Assumptions'!$B$8+1),( BM$17-BL$17)*$E$12,IF(BM$16&lt;='Model_Assumptions'!$C$8,( BM$17-BL$17)*$C$12,IF(BM$16&gt;=('Model_Assumptions'!$C$8 + 1), ( BM$17-BL$17)*$D$12, ""))))</f>
        <v/>
      </c>
      <c r="BN22" s="21">
        <f>IF(BN$16="","",IF(BN$16=('Model_Assumptions'!$B$8+1),( BN$17-BM$17)*$E$12,IF(BN$16&lt;='Model_Assumptions'!$C$8,( BN$17-BM$17)*$C$12,IF(BN$16&gt;=('Model_Assumptions'!$C$8 + 1), ( BN$17-BM$17)*$D$12, ""))))</f>
        <v/>
      </c>
      <c r="BO22" s="21">
        <f>IF(BO$16="","",IF(BO$16=('Model_Assumptions'!$B$8+1),( BO$17-BN$17)*$E$12,IF(BO$16&lt;='Model_Assumptions'!$C$8,( BO$17-BN$17)*$C$12,IF(BO$16&gt;=('Model_Assumptions'!$C$8 + 1), ( BO$17-BN$17)*$D$12, ""))))</f>
        <v/>
      </c>
      <c r="BP22" s="21">
        <f>IF(BP$16="","",IF(BP$16=('Model_Assumptions'!$B$8+1),( BP$17-BO$17)*$E$12,IF(BP$16&lt;='Model_Assumptions'!$C$8,( BP$17-BO$17)*$C$12,IF(BP$16&gt;=('Model_Assumptions'!$C$8 + 1), ( BP$17-BO$17)*$D$12, ""))))</f>
        <v/>
      </c>
      <c r="BQ22" s="21">
        <f>IF(BQ$16="","",IF(BQ$16=('Model_Assumptions'!$B$8+1),( BQ$17-BP$17)*$E$12,IF(BQ$16&lt;='Model_Assumptions'!$C$8,( BQ$17-BP$17)*$C$12,IF(BQ$16&gt;=('Model_Assumptions'!$C$8 + 1), ( BQ$17-BP$17)*$D$12, ""))))</f>
        <v/>
      </c>
      <c r="BR22" s="21">
        <f>IF(BR$16="","",IF(BR$16=('Model_Assumptions'!$B$8+1),( BR$17-BQ$17)*$E$12,IF(BR$16&lt;='Model_Assumptions'!$C$8,( BR$17-BQ$17)*$C$12,IF(BR$16&gt;=('Model_Assumptions'!$C$8 + 1), ( BR$17-BQ$17)*$D$12, ""))))</f>
        <v/>
      </c>
      <c r="BS22" s="21">
        <f>IF(BS$16="","",IF(BS$16=('Model_Assumptions'!$B$8+1),( BS$17-BR$17)*$E$12,IF(BS$16&lt;='Model_Assumptions'!$C$8,( BS$17-BR$17)*$C$12,IF(BS$16&gt;=('Model_Assumptions'!$C$8 + 1), ( BS$17-BR$17)*$D$12, ""))))</f>
        <v/>
      </c>
      <c r="BT22" s="21">
        <f>IF(BT$16="","",IF(BT$16=('Model_Assumptions'!$B$8+1),( BT$17-BS$17)*$E$12,IF(BT$16&lt;='Model_Assumptions'!$C$8,( BT$17-BS$17)*$C$12,IF(BT$16&gt;=('Model_Assumptions'!$C$8 + 1), ( BT$17-BS$17)*$D$12, ""))))</f>
        <v/>
      </c>
      <c r="BU22" s="21">
        <f>IF(BU$16="","",IF(BU$16=('Model_Assumptions'!$B$8+1),( BU$17-BT$17)*$E$12,IF(BU$16&lt;='Model_Assumptions'!$C$8,( BU$17-BT$17)*$C$12,IF(BU$16&gt;=('Model_Assumptions'!$C$8 + 1), ( BU$17-BT$17)*$D$12, ""))))</f>
        <v/>
      </c>
      <c r="BV22" s="21">
        <f>IF(BV$16="","",IF(BV$16=('Model_Assumptions'!$B$8+1),( BV$17-BU$17)*$E$12,IF(BV$16&lt;='Model_Assumptions'!$C$8,( BV$17-BU$17)*$C$12,IF(BV$16&gt;=('Model_Assumptions'!$C$8 + 1), ( BV$17-BU$17)*$D$12, ""))))</f>
        <v/>
      </c>
      <c r="BW22" s="21">
        <f>IF(BW$16="","",IF(BW$16=('Model_Assumptions'!$B$8+1),( BW$17-BV$17)*$E$12,IF(BW$16&lt;='Model_Assumptions'!$C$8,( BW$17-BV$17)*$C$12,IF(BW$16&gt;=('Model_Assumptions'!$C$8 + 1), ( BW$17-BV$17)*$D$12, ""))))</f>
        <v/>
      </c>
      <c r="BX22" s="21">
        <f>IF(BX$16="","",IF(BX$16=('Model_Assumptions'!$B$8+1),( BX$17-BW$17)*$E$12,IF(BX$16&lt;='Model_Assumptions'!$C$8,( BX$17-BW$17)*$C$12,IF(BX$16&gt;=('Model_Assumptions'!$C$8 + 1), ( BX$17-BW$17)*$D$12, ""))))</f>
        <v/>
      </c>
      <c r="BY22" s="21">
        <f>IF(BY$16="","",IF(BY$16=('Model_Assumptions'!$B$8+1),( BY$17-BX$17)*$E$12,IF(BY$16&lt;='Model_Assumptions'!$C$8,( BY$17-BX$17)*$C$12,IF(BY$16&gt;=('Model_Assumptions'!$C$8 + 1), ( BY$17-BX$17)*$D$12, ""))))</f>
        <v/>
      </c>
      <c r="BZ22" s="21">
        <f>IF(BZ$16="","",IF(BZ$16=('Model_Assumptions'!$B$8+1),( BZ$17-BY$17)*$E$12,IF(BZ$16&lt;='Model_Assumptions'!$C$8,( BZ$17-BY$17)*$C$12,IF(BZ$16&gt;=('Model_Assumptions'!$C$8 + 1), ( BZ$17-BY$17)*$D$12, ""))))</f>
        <v/>
      </c>
      <c r="CA22" s="21">
        <f>IF(CA$16="","",IF(CA$16=('Model_Assumptions'!$B$8+1),( CA$17-BZ$17)*$E$12,IF(CA$16&lt;='Model_Assumptions'!$C$8,( CA$17-BZ$17)*$C$12,IF(CA$16&gt;=('Model_Assumptions'!$C$8 + 1), ( CA$17-BZ$17)*$D$12, ""))))</f>
        <v/>
      </c>
      <c r="CB22" s="21">
        <f>IF(CB$16="","",IF(CB$16=('Model_Assumptions'!$B$8+1),( CB$17-CA$17)*$E$12,IF(CB$16&lt;='Model_Assumptions'!$C$8,( CB$17-CA$17)*$C$12,IF(CB$16&gt;=('Model_Assumptions'!$C$8 + 1), ( CB$17-CA$17)*$D$12, ""))))</f>
        <v/>
      </c>
      <c r="CC22" s="21">
        <f>IF(CC$16="","",IF(CC$16=('Model_Assumptions'!$B$8+1),( CC$17-CB$17)*$E$12,IF(CC$16&lt;='Model_Assumptions'!$C$8,( CC$17-CB$17)*$C$12,IF(CC$16&gt;=('Model_Assumptions'!$C$8 + 1), ( CC$17-CB$17)*$D$12, ""))))</f>
        <v/>
      </c>
      <c r="CD22" s="21">
        <f>IF(CD$16="","",IF(CD$16=('Model_Assumptions'!$B$8+1),( CD$17-CC$17)*$E$12,IF(CD$16&lt;='Model_Assumptions'!$C$8,( CD$17-CC$17)*$C$12,IF(CD$16&gt;=('Model_Assumptions'!$C$8 + 1), ( CD$17-CC$17)*$D$12, ""))))</f>
        <v/>
      </c>
      <c r="CE22" s="21">
        <f>IF(CE$16="","",IF(CE$16=('Model_Assumptions'!$B$8+1),( CE$17-CD$17)*$E$12,IF(CE$16&lt;='Model_Assumptions'!$C$8,( CE$17-CD$17)*$C$12,IF(CE$16&gt;=('Model_Assumptions'!$C$8 + 1), ( CE$17-CD$17)*$D$12, ""))))</f>
        <v/>
      </c>
      <c r="CF22" s="21">
        <f>IF(CF$16="","",IF(CF$16=('Model_Assumptions'!$B$8+1),( CF$17-CE$17)*$E$12,IF(CF$16&lt;='Model_Assumptions'!$C$8,( CF$17-CE$17)*$C$12,IF(CF$16&gt;=('Model_Assumptions'!$C$8 + 1), ( CF$17-CE$17)*$D$12, ""))))</f>
        <v/>
      </c>
      <c r="CG22" s="21">
        <f>IF(CG$16="","",IF(CG$16=('Model_Assumptions'!$B$8+1),( CG$17-CF$17)*$E$12,IF(CG$16&lt;='Model_Assumptions'!$C$8,( CG$17-CF$17)*$C$12,IF(CG$16&gt;=('Model_Assumptions'!$C$8 + 1), ( CG$17-CF$17)*$D$12, ""))))</f>
        <v/>
      </c>
      <c r="CH22" s="21">
        <f>IF(CH$16="","",IF(CH$16=('Model_Assumptions'!$B$8+1),( CH$17-CG$17)*$E$12,IF(CH$16&lt;='Model_Assumptions'!$C$8,( CH$17-CG$17)*$C$12,IF(CH$16&gt;=('Model_Assumptions'!$C$8 + 1), ( CH$17-CG$17)*$D$12, ""))))</f>
        <v/>
      </c>
      <c r="CI22" s="21">
        <f>IF(CI$16="","",IF(CI$16=('Model_Assumptions'!$B$8+1),( CI$17-CH$17)*$E$12,IF(CI$16&lt;='Model_Assumptions'!$C$8,( CI$17-CH$17)*$C$12,IF(CI$16&gt;=('Model_Assumptions'!$C$8 + 1), ( CI$17-CH$17)*$D$12, ""))))</f>
        <v/>
      </c>
      <c r="CJ22" s="21">
        <f>IF(CJ$16="","",IF(CJ$16=('Model_Assumptions'!$B$8+1),( CJ$17-CI$17)*$E$12,IF(CJ$16&lt;='Model_Assumptions'!$C$8,( CJ$17-CI$17)*$C$12,IF(CJ$16&gt;=('Model_Assumptions'!$C$8 + 1), ( CJ$17-CI$17)*$D$12, ""))))</f>
        <v/>
      </c>
      <c r="CK22" s="21">
        <f>IF(CK$16="","",IF(CK$16=('Model_Assumptions'!$B$8+1),( CK$17-CJ$17)*$E$12,IF(CK$16&lt;='Model_Assumptions'!$C$8,( CK$17-CJ$17)*$C$12,IF(CK$16&gt;=('Model_Assumptions'!$C$8 + 1), ( CK$17-CJ$17)*$D$12, ""))))</f>
        <v/>
      </c>
      <c r="CL22" s="21">
        <f>IF(CL$16="","",IF(CL$16=('Model_Assumptions'!$B$8+1),( CL$17-CK$17)*$E$12,IF(CL$16&lt;='Model_Assumptions'!$C$8,( CL$17-CK$17)*$C$12,IF(CL$16&gt;=('Model_Assumptions'!$C$8 + 1), ( CL$17-CK$17)*$D$12, ""))))</f>
        <v/>
      </c>
      <c r="CM22" s="22">
        <f>IF(CM$16="","",IF(CM$16=('Model_Assumptions'!$B$8+1),( CM$17-CL$17)*$E$12,IF(CM$16&lt;='Model_Assumptions'!$C$8,( CM$17-CL$17)*$C$12,IF(CM$16&gt;=('Model_Assumptions'!$C$8 + 1), ( CM$17-CL$17)*$D$12, ""))))</f>
        <v/>
      </c>
    </row>
    <row r="23">
      <c r="B23" s="23" t="inlineStr">
        <is>
          <t>Capital Expenditures</t>
        </is>
      </c>
      <c r="C23" s="24" t="inlineStr"/>
      <c r="D23" s="25">
        <f>IF(D$16="","",IF(D$16=('Model_Assumptions'!$B$8+1), D$17*$E$13,IF(D$16&lt;='Model_Assumptions'!$C$8,D$17*$C$13,IF(D$16&gt;=('Model_Assumptions'!$C$8 + 1), D$17*$D$13, ""))))</f>
        <v/>
      </c>
      <c r="E23" s="25">
        <f>IF(E$16="","",IF(E$16=('Model_Assumptions'!$B$8+1), E$17*$E$13,IF(E$16&lt;='Model_Assumptions'!$C$8,E$17*$C$13,IF(E$16&gt;=('Model_Assumptions'!$C$8 + 1), E$17*$D$13, ""))))</f>
        <v/>
      </c>
      <c r="F23" s="25">
        <f>IF(F$16="","",IF(F$16=('Model_Assumptions'!$B$8+1), F$17*$E$13,IF(F$16&lt;='Model_Assumptions'!$C$8,F$17*$C$13,IF(F$16&gt;=('Model_Assumptions'!$C$8 + 1), F$17*$D$13, ""))))</f>
        <v/>
      </c>
      <c r="G23" s="25">
        <f>IF(G$16="","",IF(G$16=('Model_Assumptions'!$B$8+1), G$17*$E$13,IF(G$16&lt;='Model_Assumptions'!$C$8,G$17*$C$13,IF(G$16&gt;=('Model_Assumptions'!$C$8 + 1), G$17*$D$13, ""))))</f>
        <v/>
      </c>
      <c r="H23" s="25">
        <f>IF(H$16="","",IF(H$16=('Model_Assumptions'!$B$8+1), H$17*$E$13,IF(H$16&lt;='Model_Assumptions'!$C$8,H$17*$C$13,IF(H$16&gt;=('Model_Assumptions'!$C$8 + 1), H$17*$D$13, ""))))</f>
        <v/>
      </c>
      <c r="I23" s="25">
        <f>IF(I$16="","",IF(I$16=('Model_Assumptions'!$B$8+1), I$17*$E$13,IF(I$16&lt;='Model_Assumptions'!$C$8,I$17*$C$13,IF(I$16&gt;=('Model_Assumptions'!$C$8 + 1), I$17*$D$13, ""))))</f>
        <v/>
      </c>
      <c r="J23" s="25">
        <f>IF(J$16="","",IF(J$16=('Model_Assumptions'!$B$8+1), J$17*$E$13,IF(J$16&lt;='Model_Assumptions'!$C$8,J$17*$C$13,IF(J$16&gt;=('Model_Assumptions'!$C$8 + 1), J$17*$D$13, ""))))</f>
        <v/>
      </c>
      <c r="K23" s="25">
        <f>IF(K$16="","",IF(K$16=('Model_Assumptions'!$B$8+1), K$17*$E$13,IF(K$16&lt;='Model_Assumptions'!$C$8,K$17*$C$13,IF(K$16&gt;=('Model_Assumptions'!$C$8 + 1), K$17*$D$13, ""))))</f>
        <v/>
      </c>
      <c r="L23" s="25">
        <f>IF(L$16="","",IF(L$16=('Model_Assumptions'!$B$8+1), L$17*$E$13,IF(L$16&lt;='Model_Assumptions'!$C$8,L$17*$C$13,IF(L$16&gt;=('Model_Assumptions'!$C$8 + 1), L$17*$D$13, ""))))</f>
        <v/>
      </c>
      <c r="M23" s="25">
        <f>IF(M$16="","",IF(M$16=('Model_Assumptions'!$B$8+1), M$17*$E$13,IF(M$16&lt;='Model_Assumptions'!$C$8,M$17*$C$13,IF(M$16&gt;=('Model_Assumptions'!$C$8 + 1), M$17*$D$13, ""))))</f>
        <v/>
      </c>
      <c r="N23" s="25">
        <f>IF(N$16="","",IF(N$16=('Model_Assumptions'!$B$8+1), N$17*$E$13,IF(N$16&lt;='Model_Assumptions'!$C$8,N$17*$C$13,IF(N$16&gt;=('Model_Assumptions'!$C$8 + 1), N$17*$D$13, ""))))</f>
        <v/>
      </c>
      <c r="O23" s="25">
        <f>IF(O$16="","",IF(O$16=('Model_Assumptions'!$B$8+1), O$17*$E$13,IF(O$16&lt;='Model_Assumptions'!$C$8,O$17*$C$13,IF(O$16&gt;=('Model_Assumptions'!$C$8 + 1), O$17*$D$13, ""))))</f>
        <v/>
      </c>
      <c r="P23" s="25">
        <f>IF(P$16="","",IF(P$16=('Model_Assumptions'!$B$8+1), P$17*$E$13,IF(P$16&lt;='Model_Assumptions'!$C$8,P$17*$C$13,IF(P$16&gt;=('Model_Assumptions'!$C$8 + 1), P$17*$D$13, ""))))</f>
        <v/>
      </c>
      <c r="Q23" s="25">
        <f>IF(Q$16="","",IF(Q$16=('Model_Assumptions'!$B$8+1), Q$17*$E$13,IF(Q$16&lt;='Model_Assumptions'!$C$8,Q$17*$C$13,IF(Q$16&gt;=('Model_Assumptions'!$C$8 + 1), Q$17*$D$13, ""))))</f>
        <v/>
      </c>
      <c r="R23" s="25">
        <f>IF(R$16="","",IF(R$16=('Model_Assumptions'!$B$8+1), R$17*$E$13,IF(R$16&lt;='Model_Assumptions'!$C$8,R$17*$C$13,IF(R$16&gt;=('Model_Assumptions'!$C$8 + 1), R$17*$D$13, ""))))</f>
        <v/>
      </c>
      <c r="S23" s="25">
        <f>IF(S$16="","",IF(S$16=('Model_Assumptions'!$B$8+1), S$17*$E$13,IF(S$16&lt;='Model_Assumptions'!$C$8,S$17*$C$13,IF(S$16&gt;=('Model_Assumptions'!$C$8 + 1), S$17*$D$13, ""))))</f>
        <v/>
      </c>
      <c r="T23" s="25">
        <f>IF(T$16="","",IF(T$16=('Model_Assumptions'!$B$8+1), T$17*$E$13,IF(T$16&lt;='Model_Assumptions'!$C$8,T$17*$C$13,IF(T$16&gt;=('Model_Assumptions'!$C$8 + 1), T$17*$D$13, ""))))</f>
        <v/>
      </c>
      <c r="U23" s="25">
        <f>IF(U$16="","",IF(U$16=('Model_Assumptions'!$B$8+1), U$17*$E$13,IF(U$16&lt;='Model_Assumptions'!$C$8,U$17*$C$13,IF(U$16&gt;=('Model_Assumptions'!$C$8 + 1), U$17*$D$13, ""))))</f>
        <v/>
      </c>
      <c r="V23" s="25">
        <f>IF(V$16="","",IF(V$16=('Model_Assumptions'!$B$8+1), V$17*$E$13,IF(V$16&lt;='Model_Assumptions'!$C$8,V$17*$C$13,IF(V$16&gt;=('Model_Assumptions'!$C$8 + 1), V$17*$D$13, ""))))</f>
        <v/>
      </c>
      <c r="W23" s="25">
        <f>IF(W$16="","",IF(W$16=('Model_Assumptions'!$B$8+1), W$17*$E$13,IF(W$16&lt;='Model_Assumptions'!$C$8,W$17*$C$13,IF(W$16&gt;=('Model_Assumptions'!$C$8 + 1), W$17*$D$13, ""))))</f>
        <v/>
      </c>
      <c r="X23" s="25">
        <f>IF(X$16="","",IF(X$16=('Model_Assumptions'!$B$8+1), X$17*$E$13,IF(X$16&lt;='Model_Assumptions'!$C$8,X$17*$C$13,IF(X$16&gt;=('Model_Assumptions'!$C$8 + 1), X$17*$D$13, ""))))</f>
        <v/>
      </c>
      <c r="Y23" s="25">
        <f>IF(Y$16="","",IF(Y$16=('Model_Assumptions'!$B$8+1), Y$17*$E$13,IF(Y$16&lt;='Model_Assumptions'!$C$8,Y$17*$C$13,IF(Y$16&gt;=('Model_Assumptions'!$C$8 + 1), Y$17*$D$13, ""))))</f>
        <v/>
      </c>
      <c r="Z23" s="25">
        <f>IF(Z$16="","",IF(Z$16=('Model_Assumptions'!$B$8+1), Z$17*$E$13,IF(Z$16&lt;='Model_Assumptions'!$C$8,Z$17*$C$13,IF(Z$16&gt;=('Model_Assumptions'!$C$8 + 1), Z$17*$D$13, ""))))</f>
        <v/>
      </c>
      <c r="AA23" s="25">
        <f>IF(AA$16="","",IF(AA$16=('Model_Assumptions'!$B$8+1), AA$17*$E$13,IF(AA$16&lt;='Model_Assumptions'!$C$8,AA$17*$C$13,IF(AA$16&gt;=('Model_Assumptions'!$C$8 + 1), AA$17*$D$13, ""))))</f>
        <v/>
      </c>
      <c r="AB23" s="25">
        <f>IF(AB$16="","",IF(AB$16=('Model_Assumptions'!$B$8+1), AB$17*$E$13,IF(AB$16&lt;='Model_Assumptions'!$C$8,AB$17*$C$13,IF(AB$16&gt;=('Model_Assumptions'!$C$8 + 1), AB$17*$D$13, ""))))</f>
        <v/>
      </c>
      <c r="AC23" s="25">
        <f>IF(AC$16="","",IF(AC$16=('Model_Assumptions'!$B$8+1), AC$17*$E$13,IF(AC$16&lt;='Model_Assumptions'!$C$8,AC$17*$C$13,IF(AC$16&gt;=('Model_Assumptions'!$C$8 + 1), AC$17*$D$13, ""))))</f>
        <v/>
      </c>
      <c r="AD23" s="25">
        <f>IF(AD$16="","",IF(AD$16=('Model_Assumptions'!$B$8+1), AD$17*$E$13,IF(AD$16&lt;='Model_Assumptions'!$C$8,AD$17*$C$13,IF(AD$16&gt;=('Model_Assumptions'!$C$8 + 1), AD$17*$D$13, ""))))</f>
        <v/>
      </c>
      <c r="AE23" s="25">
        <f>IF(AE$16="","",IF(AE$16=('Model_Assumptions'!$B$8+1), AE$17*$E$13,IF(AE$16&lt;='Model_Assumptions'!$C$8,AE$17*$C$13,IF(AE$16&gt;=('Model_Assumptions'!$C$8 + 1), AE$17*$D$13, ""))))</f>
        <v/>
      </c>
      <c r="AF23" s="25">
        <f>IF(AF$16="","",IF(AF$16=('Model_Assumptions'!$B$8+1), AF$17*$E$13,IF(AF$16&lt;='Model_Assumptions'!$C$8,AF$17*$C$13,IF(AF$16&gt;=('Model_Assumptions'!$C$8 + 1), AF$17*$D$13, ""))))</f>
        <v/>
      </c>
      <c r="AG23" s="25">
        <f>IF(AG$16="","",IF(AG$16=('Model_Assumptions'!$B$8+1), AG$17*$E$13,IF(AG$16&lt;='Model_Assumptions'!$C$8,AG$17*$C$13,IF(AG$16&gt;=('Model_Assumptions'!$C$8 + 1), AG$17*$D$13, ""))))</f>
        <v/>
      </c>
      <c r="AH23" s="25">
        <f>IF(AH$16="","",IF(AH$16=('Model_Assumptions'!$B$8+1), AH$17*$E$13,IF(AH$16&lt;='Model_Assumptions'!$C$8,AH$17*$C$13,IF(AH$16&gt;=('Model_Assumptions'!$C$8 + 1), AH$17*$D$13, ""))))</f>
        <v/>
      </c>
      <c r="AI23" s="25">
        <f>IF(AI$16="","",IF(AI$16=('Model_Assumptions'!$B$8+1), AI$17*$E$13,IF(AI$16&lt;='Model_Assumptions'!$C$8,AI$17*$C$13,IF(AI$16&gt;=('Model_Assumptions'!$C$8 + 1), AI$17*$D$13, ""))))</f>
        <v/>
      </c>
      <c r="AJ23" s="25">
        <f>IF(AJ$16="","",IF(AJ$16=('Model_Assumptions'!$B$8+1), AJ$17*$E$13,IF(AJ$16&lt;='Model_Assumptions'!$C$8,AJ$17*$C$13,IF(AJ$16&gt;=('Model_Assumptions'!$C$8 + 1), AJ$17*$D$13, ""))))</f>
        <v/>
      </c>
      <c r="AK23" s="25">
        <f>IF(AK$16="","",IF(AK$16=('Model_Assumptions'!$B$8+1), AK$17*$E$13,IF(AK$16&lt;='Model_Assumptions'!$C$8,AK$17*$C$13,IF(AK$16&gt;=('Model_Assumptions'!$C$8 + 1), AK$17*$D$13, ""))))</f>
        <v/>
      </c>
      <c r="AL23" s="25">
        <f>IF(AL$16="","",IF(AL$16=('Model_Assumptions'!$B$8+1), AL$17*$E$13,IF(AL$16&lt;='Model_Assumptions'!$C$8,AL$17*$C$13,IF(AL$16&gt;=('Model_Assumptions'!$C$8 + 1), AL$17*$D$13, ""))))</f>
        <v/>
      </c>
      <c r="AM23" s="25">
        <f>IF(AM$16="","",IF(AM$16=('Model_Assumptions'!$B$8+1), AM$17*$E$13,IF(AM$16&lt;='Model_Assumptions'!$C$8,AM$17*$C$13,IF(AM$16&gt;=('Model_Assumptions'!$C$8 + 1), AM$17*$D$13, ""))))</f>
        <v/>
      </c>
      <c r="AN23" s="25">
        <f>IF(AN$16="","",IF(AN$16=('Model_Assumptions'!$B$8+1), AN$17*$E$13,IF(AN$16&lt;='Model_Assumptions'!$C$8,AN$17*$C$13,IF(AN$16&gt;=('Model_Assumptions'!$C$8 + 1), AN$17*$D$13, ""))))</f>
        <v/>
      </c>
      <c r="AO23" s="25">
        <f>IF(AO$16="","",IF(AO$16=('Model_Assumptions'!$B$8+1), AO$17*$E$13,IF(AO$16&lt;='Model_Assumptions'!$C$8,AO$17*$C$13,IF(AO$16&gt;=('Model_Assumptions'!$C$8 + 1), AO$17*$D$13, ""))))</f>
        <v/>
      </c>
      <c r="AP23" s="25">
        <f>IF(AP$16="","",IF(AP$16=('Model_Assumptions'!$B$8+1), AP$17*$E$13,IF(AP$16&lt;='Model_Assumptions'!$C$8,AP$17*$C$13,IF(AP$16&gt;=('Model_Assumptions'!$C$8 + 1), AP$17*$D$13, ""))))</f>
        <v/>
      </c>
      <c r="AQ23" s="25">
        <f>IF(AQ$16="","",IF(AQ$16=('Model_Assumptions'!$B$8+1), AQ$17*$E$13,IF(AQ$16&lt;='Model_Assumptions'!$C$8,AQ$17*$C$13,IF(AQ$16&gt;=('Model_Assumptions'!$C$8 + 1), AQ$17*$D$13, ""))))</f>
        <v/>
      </c>
      <c r="AR23" s="25">
        <f>IF(AR$16="","",IF(AR$16=('Model_Assumptions'!$B$8+1), AR$17*$E$13,IF(AR$16&lt;='Model_Assumptions'!$C$8,AR$17*$C$13,IF(AR$16&gt;=('Model_Assumptions'!$C$8 + 1), AR$17*$D$13, ""))))</f>
        <v/>
      </c>
      <c r="AS23" s="25">
        <f>IF(AS$16="","",IF(AS$16=('Model_Assumptions'!$B$8+1), AS$17*$E$13,IF(AS$16&lt;='Model_Assumptions'!$C$8,AS$17*$C$13,IF(AS$16&gt;=('Model_Assumptions'!$C$8 + 1), AS$17*$D$13, ""))))</f>
        <v/>
      </c>
      <c r="AT23" s="25">
        <f>IF(AT$16="","",IF(AT$16=('Model_Assumptions'!$B$8+1), AT$17*$E$13,IF(AT$16&lt;='Model_Assumptions'!$C$8,AT$17*$C$13,IF(AT$16&gt;=('Model_Assumptions'!$C$8 + 1), AT$17*$D$13, ""))))</f>
        <v/>
      </c>
      <c r="AU23" s="25">
        <f>IF(AU$16="","",IF(AU$16=('Model_Assumptions'!$B$8+1), AU$17*$E$13,IF(AU$16&lt;='Model_Assumptions'!$C$8,AU$17*$C$13,IF(AU$16&gt;=('Model_Assumptions'!$C$8 + 1), AU$17*$D$13, ""))))</f>
        <v/>
      </c>
      <c r="AV23" s="25">
        <f>IF(AV$16="","",IF(AV$16=('Model_Assumptions'!$B$8+1), AV$17*$E$13,IF(AV$16&lt;='Model_Assumptions'!$C$8,AV$17*$C$13,IF(AV$16&gt;=('Model_Assumptions'!$C$8 + 1), AV$17*$D$13, ""))))</f>
        <v/>
      </c>
      <c r="AW23" s="25">
        <f>IF(AW$16="","",IF(AW$16=('Model_Assumptions'!$B$8+1), AW$17*$E$13,IF(AW$16&lt;='Model_Assumptions'!$C$8,AW$17*$C$13,IF(AW$16&gt;=('Model_Assumptions'!$C$8 + 1), AW$17*$D$13, ""))))</f>
        <v/>
      </c>
      <c r="AX23" s="25">
        <f>IF(AX$16="","",IF(AX$16=('Model_Assumptions'!$B$8+1), AX$17*$E$13,IF(AX$16&lt;='Model_Assumptions'!$C$8,AX$17*$C$13,IF(AX$16&gt;=('Model_Assumptions'!$C$8 + 1), AX$17*$D$13, ""))))</f>
        <v/>
      </c>
      <c r="AY23" s="25">
        <f>IF(AY$16="","",IF(AY$16=('Model_Assumptions'!$B$8+1), AY$17*$E$13,IF(AY$16&lt;='Model_Assumptions'!$C$8,AY$17*$C$13,IF(AY$16&gt;=('Model_Assumptions'!$C$8 + 1), AY$17*$D$13, ""))))</f>
        <v/>
      </c>
      <c r="AZ23" s="25">
        <f>IF(AZ$16="","",IF(AZ$16=('Model_Assumptions'!$B$8+1), AZ$17*$E$13,IF(AZ$16&lt;='Model_Assumptions'!$C$8,AZ$17*$C$13,IF(AZ$16&gt;=('Model_Assumptions'!$C$8 + 1), AZ$17*$D$13, ""))))</f>
        <v/>
      </c>
      <c r="BA23" s="25">
        <f>IF(BA$16="","",IF(BA$16=('Model_Assumptions'!$B$8+1), BA$17*$E$13,IF(BA$16&lt;='Model_Assumptions'!$C$8,BA$17*$C$13,IF(BA$16&gt;=('Model_Assumptions'!$C$8 + 1), BA$17*$D$13, ""))))</f>
        <v/>
      </c>
      <c r="BB23" s="25">
        <f>IF(BB$16="","",IF(BB$16=('Model_Assumptions'!$B$8+1), BB$17*$E$13,IF(BB$16&lt;='Model_Assumptions'!$C$8,BB$17*$C$13,IF(BB$16&gt;=('Model_Assumptions'!$C$8 + 1), BB$17*$D$13, ""))))</f>
        <v/>
      </c>
      <c r="BC23" s="25">
        <f>IF(BC$16="","",IF(BC$16=('Model_Assumptions'!$B$8+1), BC$17*$E$13,IF(BC$16&lt;='Model_Assumptions'!$C$8,BC$17*$C$13,IF(BC$16&gt;=('Model_Assumptions'!$C$8 + 1), BC$17*$D$13, ""))))</f>
        <v/>
      </c>
      <c r="BD23" s="25">
        <f>IF(BD$16="","",IF(BD$16=('Model_Assumptions'!$B$8+1), BD$17*$E$13,IF(BD$16&lt;='Model_Assumptions'!$C$8,BD$17*$C$13,IF(BD$16&gt;=('Model_Assumptions'!$C$8 + 1), BD$17*$D$13, ""))))</f>
        <v/>
      </c>
      <c r="BE23" s="25">
        <f>IF(BE$16="","",IF(BE$16=('Model_Assumptions'!$B$8+1), BE$17*$E$13,IF(BE$16&lt;='Model_Assumptions'!$C$8,BE$17*$C$13,IF(BE$16&gt;=('Model_Assumptions'!$C$8 + 1), BE$17*$D$13, ""))))</f>
        <v/>
      </c>
      <c r="BF23" s="25">
        <f>IF(BF$16="","",IF(BF$16=('Model_Assumptions'!$B$8+1), BF$17*$E$13,IF(BF$16&lt;='Model_Assumptions'!$C$8,BF$17*$C$13,IF(BF$16&gt;=('Model_Assumptions'!$C$8 + 1), BF$17*$D$13, ""))))</f>
        <v/>
      </c>
      <c r="BG23" s="25">
        <f>IF(BG$16="","",IF(BG$16=('Model_Assumptions'!$B$8+1), BG$17*$E$13,IF(BG$16&lt;='Model_Assumptions'!$C$8,BG$17*$C$13,IF(BG$16&gt;=('Model_Assumptions'!$C$8 + 1), BG$17*$D$13, ""))))</f>
        <v/>
      </c>
      <c r="BH23" s="25">
        <f>IF(BH$16="","",IF(BH$16=('Model_Assumptions'!$B$8+1), BH$17*$E$13,IF(BH$16&lt;='Model_Assumptions'!$C$8,BH$17*$C$13,IF(BH$16&gt;=('Model_Assumptions'!$C$8 + 1), BH$17*$D$13, ""))))</f>
        <v/>
      </c>
      <c r="BI23" s="25">
        <f>IF(BI$16="","",IF(BI$16=('Model_Assumptions'!$B$8+1), BI$17*$E$13,IF(BI$16&lt;='Model_Assumptions'!$C$8,BI$17*$C$13,IF(BI$16&gt;=('Model_Assumptions'!$C$8 + 1), BI$17*$D$13, ""))))</f>
        <v/>
      </c>
      <c r="BJ23" s="25">
        <f>IF(BJ$16="","",IF(BJ$16=('Model_Assumptions'!$B$8+1), BJ$17*$E$13,IF(BJ$16&lt;='Model_Assumptions'!$C$8,BJ$17*$C$13,IF(BJ$16&gt;=('Model_Assumptions'!$C$8 + 1), BJ$17*$D$13, ""))))</f>
        <v/>
      </c>
      <c r="BK23" s="25">
        <f>IF(BK$16="","",IF(BK$16=('Model_Assumptions'!$B$8+1), BK$17*$E$13,IF(BK$16&lt;='Model_Assumptions'!$C$8,BK$17*$C$13,IF(BK$16&gt;=('Model_Assumptions'!$C$8 + 1), BK$17*$D$13, ""))))</f>
        <v/>
      </c>
      <c r="BL23" s="25">
        <f>IF(BL$16="","",IF(BL$16=('Model_Assumptions'!$B$8+1), BL$17*$E$13,IF(BL$16&lt;='Model_Assumptions'!$C$8,BL$17*$C$13,IF(BL$16&gt;=('Model_Assumptions'!$C$8 + 1), BL$17*$D$13, ""))))</f>
        <v/>
      </c>
      <c r="BM23" s="25">
        <f>IF(BM$16="","",IF(BM$16=('Model_Assumptions'!$B$8+1), BM$17*$E$13,IF(BM$16&lt;='Model_Assumptions'!$C$8,BM$17*$C$13,IF(BM$16&gt;=('Model_Assumptions'!$C$8 + 1), BM$17*$D$13, ""))))</f>
        <v/>
      </c>
      <c r="BN23" s="25">
        <f>IF(BN$16="","",IF(BN$16=('Model_Assumptions'!$B$8+1), BN$17*$E$13,IF(BN$16&lt;='Model_Assumptions'!$C$8,BN$17*$C$13,IF(BN$16&gt;=('Model_Assumptions'!$C$8 + 1), BN$17*$D$13, ""))))</f>
        <v/>
      </c>
      <c r="BO23" s="25">
        <f>IF(BO$16="","",IF(BO$16=('Model_Assumptions'!$B$8+1), BO$17*$E$13,IF(BO$16&lt;='Model_Assumptions'!$C$8,BO$17*$C$13,IF(BO$16&gt;=('Model_Assumptions'!$C$8 + 1), BO$17*$D$13, ""))))</f>
        <v/>
      </c>
      <c r="BP23" s="25">
        <f>IF(BP$16="","",IF(BP$16=('Model_Assumptions'!$B$8+1), BP$17*$E$13,IF(BP$16&lt;='Model_Assumptions'!$C$8,BP$17*$C$13,IF(BP$16&gt;=('Model_Assumptions'!$C$8 + 1), BP$17*$D$13, ""))))</f>
        <v/>
      </c>
      <c r="BQ23" s="25">
        <f>IF(BQ$16="","",IF(BQ$16=('Model_Assumptions'!$B$8+1), BQ$17*$E$13,IF(BQ$16&lt;='Model_Assumptions'!$C$8,BQ$17*$C$13,IF(BQ$16&gt;=('Model_Assumptions'!$C$8 + 1), BQ$17*$D$13, ""))))</f>
        <v/>
      </c>
      <c r="BR23" s="25">
        <f>IF(BR$16="","",IF(BR$16=('Model_Assumptions'!$B$8+1), BR$17*$E$13,IF(BR$16&lt;='Model_Assumptions'!$C$8,BR$17*$C$13,IF(BR$16&gt;=('Model_Assumptions'!$C$8 + 1), BR$17*$D$13, ""))))</f>
        <v/>
      </c>
      <c r="BS23" s="25">
        <f>IF(BS$16="","",IF(BS$16=('Model_Assumptions'!$B$8+1), BS$17*$E$13,IF(BS$16&lt;='Model_Assumptions'!$C$8,BS$17*$C$13,IF(BS$16&gt;=('Model_Assumptions'!$C$8 + 1), BS$17*$D$13, ""))))</f>
        <v/>
      </c>
      <c r="BT23" s="25">
        <f>IF(BT$16="","",IF(BT$16=('Model_Assumptions'!$B$8+1), BT$17*$E$13,IF(BT$16&lt;='Model_Assumptions'!$C$8,BT$17*$C$13,IF(BT$16&gt;=('Model_Assumptions'!$C$8 + 1), BT$17*$D$13, ""))))</f>
        <v/>
      </c>
      <c r="BU23" s="25">
        <f>IF(BU$16="","",IF(BU$16=('Model_Assumptions'!$B$8+1), BU$17*$E$13,IF(BU$16&lt;='Model_Assumptions'!$C$8,BU$17*$C$13,IF(BU$16&gt;=('Model_Assumptions'!$C$8 + 1), BU$17*$D$13, ""))))</f>
        <v/>
      </c>
      <c r="BV23" s="25">
        <f>IF(BV$16="","",IF(BV$16=('Model_Assumptions'!$B$8+1), BV$17*$E$13,IF(BV$16&lt;='Model_Assumptions'!$C$8,BV$17*$C$13,IF(BV$16&gt;=('Model_Assumptions'!$C$8 + 1), BV$17*$D$13, ""))))</f>
        <v/>
      </c>
      <c r="BW23" s="25">
        <f>IF(BW$16="","",IF(BW$16=('Model_Assumptions'!$B$8+1), BW$17*$E$13,IF(BW$16&lt;='Model_Assumptions'!$C$8,BW$17*$C$13,IF(BW$16&gt;=('Model_Assumptions'!$C$8 + 1), BW$17*$D$13, ""))))</f>
        <v/>
      </c>
      <c r="BX23" s="25">
        <f>IF(BX$16="","",IF(BX$16=('Model_Assumptions'!$B$8+1), BX$17*$E$13,IF(BX$16&lt;='Model_Assumptions'!$C$8,BX$17*$C$13,IF(BX$16&gt;=('Model_Assumptions'!$C$8 + 1), BX$17*$D$13, ""))))</f>
        <v/>
      </c>
      <c r="BY23" s="25">
        <f>IF(BY$16="","",IF(BY$16=('Model_Assumptions'!$B$8+1), BY$17*$E$13,IF(BY$16&lt;='Model_Assumptions'!$C$8,BY$17*$C$13,IF(BY$16&gt;=('Model_Assumptions'!$C$8 + 1), BY$17*$D$13, ""))))</f>
        <v/>
      </c>
      <c r="BZ23" s="25">
        <f>IF(BZ$16="","",IF(BZ$16=('Model_Assumptions'!$B$8+1), BZ$17*$E$13,IF(BZ$16&lt;='Model_Assumptions'!$C$8,BZ$17*$C$13,IF(BZ$16&gt;=('Model_Assumptions'!$C$8 + 1), BZ$17*$D$13, ""))))</f>
        <v/>
      </c>
      <c r="CA23" s="25">
        <f>IF(CA$16="","",IF(CA$16=('Model_Assumptions'!$B$8+1), CA$17*$E$13,IF(CA$16&lt;='Model_Assumptions'!$C$8,CA$17*$C$13,IF(CA$16&gt;=('Model_Assumptions'!$C$8 + 1), CA$17*$D$13, ""))))</f>
        <v/>
      </c>
      <c r="CB23" s="25">
        <f>IF(CB$16="","",IF(CB$16=('Model_Assumptions'!$B$8+1), CB$17*$E$13,IF(CB$16&lt;='Model_Assumptions'!$C$8,CB$17*$C$13,IF(CB$16&gt;=('Model_Assumptions'!$C$8 + 1), CB$17*$D$13, ""))))</f>
        <v/>
      </c>
      <c r="CC23" s="25">
        <f>IF(CC$16="","",IF(CC$16=('Model_Assumptions'!$B$8+1), CC$17*$E$13,IF(CC$16&lt;='Model_Assumptions'!$C$8,CC$17*$C$13,IF(CC$16&gt;=('Model_Assumptions'!$C$8 + 1), CC$17*$D$13, ""))))</f>
        <v/>
      </c>
      <c r="CD23" s="25">
        <f>IF(CD$16="","",IF(CD$16=('Model_Assumptions'!$B$8+1), CD$17*$E$13,IF(CD$16&lt;='Model_Assumptions'!$C$8,CD$17*$C$13,IF(CD$16&gt;=('Model_Assumptions'!$C$8 + 1), CD$17*$D$13, ""))))</f>
        <v/>
      </c>
      <c r="CE23" s="25">
        <f>IF(CE$16="","",IF(CE$16=('Model_Assumptions'!$B$8+1), CE$17*$E$13,IF(CE$16&lt;='Model_Assumptions'!$C$8,CE$17*$C$13,IF(CE$16&gt;=('Model_Assumptions'!$C$8 + 1), CE$17*$D$13, ""))))</f>
        <v/>
      </c>
      <c r="CF23" s="25">
        <f>IF(CF$16="","",IF(CF$16=('Model_Assumptions'!$B$8+1), CF$17*$E$13,IF(CF$16&lt;='Model_Assumptions'!$C$8,CF$17*$C$13,IF(CF$16&gt;=('Model_Assumptions'!$C$8 + 1), CF$17*$D$13, ""))))</f>
        <v/>
      </c>
      <c r="CG23" s="25">
        <f>IF(CG$16="","",IF(CG$16=('Model_Assumptions'!$B$8+1), CG$17*$E$13,IF(CG$16&lt;='Model_Assumptions'!$C$8,CG$17*$C$13,IF(CG$16&gt;=('Model_Assumptions'!$C$8 + 1), CG$17*$D$13, ""))))</f>
        <v/>
      </c>
      <c r="CH23" s="25">
        <f>IF(CH$16="","",IF(CH$16=('Model_Assumptions'!$B$8+1), CH$17*$E$13,IF(CH$16&lt;='Model_Assumptions'!$C$8,CH$17*$C$13,IF(CH$16&gt;=('Model_Assumptions'!$C$8 + 1), CH$17*$D$13, ""))))</f>
        <v/>
      </c>
      <c r="CI23" s="25">
        <f>IF(CI$16="","",IF(CI$16=('Model_Assumptions'!$B$8+1), CI$17*$E$13,IF(CI$16&lt;='Model_Assumptions'!$C$8,CI$17*$C$13,IF(CI$16&gt;=('Model_Assumptions'!$C$8 + 1), CI$17*$D$13, ""))))</f>
        <v/>
      </c>
      <c r="CJ23" s="25">
        <f>IF(CJ$16="","",IF(CJ$16=('Model_Assumptions'!$B$8+1), CJ$17*$E$13,IF(CJ$16&lt;='Model_Assumptions'!$C$8,CJ$17*$C$13,IF(CJ$16&gt;=('Model_Assumptions'!$C$8 + 1), CJ$17*$D$13, ""))))</f>
        <v/>
      </c>
      <c r="CK23" s="25">
        <f>IF(CK$16="","",IF(CK$16=('Model_Assumptions'!$B$8+1), CK$17*$E$13,IF(CK$16&lt;='Model_Assumptions'!$C$8,CK$17*$C$13,IF(CK$16&gt;=('Model_Assumptions'!$C$8 + 1), CK$17*$D$13, ""))))</f>
        <v/>
      </c>
      <c r="CL23" s="25">
        <f>IF(CL$16="","",IF(CL$16=('Model_Assumptions'!$B$8+1), CL$17*$E$13,IF(CL$16&lt;='Model_Assumptions'!$C$8,CL$17*$C$13,IF(CL$16&gt;=('Model_Assumptions'!$C$8 + 1), CL$17*$D$13, ""))))</f>
        <v/>
      </c>
      <c r="CM23" s="26">
        <f>IF(CM$16="","",IF(CM$16=('Model_Assumptions'!$B$8+1), CM$17*$E$13,IF(CM$16&lt;='Model_Assumptions'!$C$8,CM$17*$C$13,IF(CM$16&gt;=('Model_Assumptions'!$C$8 + 1), CM$17*$D$13, ""))))</f>
        <v/>
      </c>
    </row>
    <row r="24">
      <c r="B24" s="27" t="inlineStr"/>
      <c r="C24" t="inlineStr"/>
      <c r="D24" t="inlineStr"/>
      <c r="E24" t="inlineStr"/>
      <c r="F24" t="inlineStr"/>
      <c r="G24" t="inlineStr"/>
      <c r="H24" t="inlineStr"/>
      <c r="I24" t="inlineStr"/>
      <c r="J24" t="inlineStr"/>
      <c r="K24" t="inlineStr"/>
      <c r="L24" t="inlineStr"/>
      <c r="M24" t="inlineStr"/>
      <c r="N24" t="inlineStr"/>
      <c r="O24" t="inlineStr"/>
      <c r="P24" t="inlineStr"/>
      <c r="Q24" t="inlineStr"/>
      <c r="R24" t="inlineStr"/>
      <c r="S24" t="inlineStr"/>
      <c r="T24" t="inlineStr"/>
      <c r="U24" t="inlineStr"/>
      <c r="V24" t="inlineStr"/>
      <c r="W24" t="inlineStr"/>
      <c r="X24" t="inlineStr"/>
      <c r="Y24" t="inlineStr"/>
      <c r="Z24" t="inlineStr"/>
      <c r="AA24" t="inlineStr"/>
      <c r="AB24" t="inlineStr"/>
      <c r="AC24" t="inlineStr"/>
      <c r="AD24" t="inlineStr"/>
      <c r="AE24" t="inlineStr"/>
      <c r="AF24" t="inlineStr"/>
      <c r="AG24" t="inlineStr"/>
      <c r="AH24" t="inlineStr"/>
      <c r="AI24" t="inlineStr"/>
      <c r="AJ24" t="inlineStr"/>
      <c r="AK24" t="inlineStr"/>
      <c r="AL24" t="inlineStr"/>
      <c r="AM24" t="inlineStr"/>
      <c r="AN24" t="inlineStr"/>
      <c r="AO24" t="inlineStr"/>
      <c r="AP24" t="inlineStr"/>
      <c r="AQ24" t="inlineStr"/>
      <c r="AR24" t="inlineStr"/>
      <c r="AS24" t="inlineStr"/>
      <c r="AT24" t="inlineStr"/>
      <c r="AU24" t="inlineStr"/>
      <c r="AV24" t="inlineStr"/>
      <c r="AW24" t="inlineStr"/>
      <c r="AX24" t="inlineStr"/>
      <c r="AY24" t="inlineStr"/>
      <c r="AZ24" t="inlineStr"/>
      <c r="BA24" t="inlineStr"/>
      <c r="BB24" t="inlineStr"/>
      <c r="BC24" t="inlineStr"/>
      <c r="BD24" t="inlineStr"/>
      <c r="BE24" t="inlineStr"/>
      <c r="BF24" t="inlineStr"/>
      <c r="BG24" t="inlineStr"/>
      <c r="BH24" t="inlineStr"/>
      <c r="BI24" t="inlineStr"/>
      <c r="BJ24" t="inlineStr"/>
      <c r="BK24" t="inlineStr"/>
      <c r="BL24" t="inlineStr"/>
      <c r="BM24" t="inlineStr"/>
      <c r="BN24" t="inlineStr"/>
      <c r="BO24" t="inlineStr"/>
      <c r="BP24" t="inlineStr"/>
      <c r="BQ24" t="inlineStr"/>
      <c r="BR24" t="inlineStr"/>
      <c r="BS24" t="inlineStr"/>
      <c r="BT24" t="inlineStr"/>
      <c r="BU24" t="inlineStr"/>
      <c r="BV24" t="inlineStr"/>
      <c r="BW24" t="inlineStr"/>
      <c r="BX24" t="inlineStr"/>
      <c r="BY24" t="inlineStr"/>
      <c r="BZ24" t="inlineStr"/>
      <c r="CA24" t="inlineStr"/>
      <c r="CB24" t="inlineStr"/>
      <c r="CC24" t="inlineStr"/>
      <c r="CD24" t="inlineStr"/>
      <c r="CE24" t="inlineStr"/>
      <c r="CF24" t="inlineStr"/>
      <c r="CG24" t="inlineStr"/>
      <c r="CH24" t="inlineStr"/>
      <c r="CI24" t="inlineStr"/>
      <c r="CJ24" t="inlineStr"/>
      <c r="CK24" t="inlineStr"/>
      <c r="CL24" t="inlineStr"/>
      <c r="CM24" t="inlineStr"/>
    </row>
    <row r="25">
      <c r="B25" s="15" t="inlineStr">
        <is>
          <t>Free Cash Flow (FCF)</t>
        </is>
      </c>
      <c r="C25" s="28" t="inlineStr"/>
      <c r="D25" s="29">
        <f>IF(D16="", "", D19+D21-D22-D23)</f>
        <v/>
      </c>
      <c r="E25" s="29">
        <f>IF(E16="", "", E19+E21-E22-E23)</f>
        <v/>
      </c>
      <c r="F25" s="29">
        <f>IF(F16="", "", F19+F21-F22-F23)</f>
        <v/>
      </c>
      <c r="G25" s="29">
        <f>IF(G16="", "", G19+G21-G22-G23)</f>
        <v/>
      </c>
      <c r="H25" s="29">
        <f>IF(H16="", "", H19+H21-H22-H23)</f>
        <v/>
      </c>
      <c r="I25" s="29">
        <f>IF(I16="", "", I19+I21-I22-I23)</f>
        <v/>
      </c>
      <c r="J25" s="29">
        <f>IF(J16="", "", J19+J21-J22-J23)</f>
        <v/>
      </c>
      <c r="K25" s="29">
        <f>IF(K16="", "", K19+K21-K22-K23)</f>
        <v/>
      </c>
      <c r="L25" s="29">
        <f>IF(L16="", "", L19+L21-L22-L23)</f>
        <v/>
      </c>
      <c r="M25" s="29">
        <f>IF(M16="", "", M19+M21-M22-M23)</f>
        <v/>
      </c>
      <c r="N25" s="29">
        <f>IF(N16="", "", N19+N21-N22-N23)</f>
        <v/>
      </c>
      <c r="O25" s="29">
        <f>IF(O16="", "", O19+O21-O22-O23)</f>
        <v/>
      </c>
      <c r="P25" s="29">
        <f>IF(P16="", "", P19+P21-P22-P23)</f>
        <v/>
      </c>
      <c r="Q25" s="29">
        <f>IF(Q16="", "", Q19+Q21-Q22-Q23)</f>
        <v/>
      </c>
      <c r="R25" s="29">
        <f>IF(R16="", "", R19+R21-R22-R23)</f>
        <v/>
      </c>
      <c r="S25" s="29">
        <f>IF(S16="", "", S19+S21-S22-S23)</f>
        <v/>
      </c>
      <c r="T25" s="29">
        <f>IF(T16="", "", T19+T21-T22-T23)</f>
        <v/>
      </c>
      <c r="U25" s="29">
        <f>IF(U16="", "", U19+U21-U22-U23)</f>
        <v/>
      </c>
      <c r="V25" s="29">
        <f>IF(V16="", "", V19+V21-V22-V23)</f>
        <v/>
      </c>
      <c r="W25" s="29">
        <f>IF(W16="", "", W19+W21-W22-W23)</f>
        <v/>
      </c>
      <c r="X25" s="29">
        <f>IF(X16="", "", X19+X21-X22-X23)</f>
        <v/>
      </c>
      <c r="Y25" s="29">
        <f>IF(Y16="", "", Y19+Y21-Y22-Y23)</f>
        <v/>
      </c>
      <c r="Z25" s="29">
        <f>IF(Z16="", "", Z19+Z21-Z22-Z23)</f>
        <v/>
      </c>
      <c r="AA25" s="29">
        <f>IF(AA16="", "", AA19+AA21-AA22-AA23)</f>
        <v/>
      </c>
      <c r="AB25" s="29">
        <f>IF(AB16="", "", AB19+AB21-AB22-AB23)</f>
        <v/>
      </c>
      <c r="AC25" s="29">
        <f>IF(AC16="", "", AC19+AC21-AC22-AC23)</f>
        <v/>
      </c>
      <c r="AD25" s="29">
        <f>IF(AD16="", "", AD19+AD21-AD22-AD23)</f>
        <v/>
      </c>
      <c r="AE25" s="29">
        <f>IF(AE16="", "", AE19+AE21-AE22-AE23)</f>
        <v/>
      </c>
      <c r="AF25" s="29">
        <f>IF(AF16="", "", AF19+AF21-AF22-AF23)</f>
        <v/>
      </c>
      <c r="AG25" s="29">
        <f>IF(AG16="", "", AG19+AG21-AG22-AG23)</f>
        <v/>
      </c>
      <c r="AH25" s="29">
        <f>IF(AH16="", "", AH19+AH21-AH22-AH23)</f>
        <v/>
      </c>
      <c r="AI25" s="29">
        <f>IF(AI16="", "", AI19+AI21-AI22-AI23)</f>
        <v/>
      </c>
      <c r="AJ25" s="29">
        <f>IF(AJ16="", "", AJ19+AJ21-AJ22-AJ23)</f>
        <v/>
      </c>
      <c r="AK25" s="29">
        <f>IF(AK16="", "", AK19+AK21-AK22-AK23)</f>
        <v/>
      </c>
      <c r="AL25" s="29">
        <f>IF(AL16="", "", AL19+AL21-AL22-AL23)</f>
        <v/>
      </c>
      <c r="AM25" s="29">
        <f>IF(AM16="", "", AM19+AM21-AM22-AM23)</f>
        <v/>
      </c>
      <c r="AN25" s="29">
        <f>IF(AN16="", "", AN19+AN21-AN22-AN23)</f>
        <v/>
      </c>
      <c r="AO25" s="29">
        <f>IF(AO16="", "", AO19+AO21-AO22-AO23)</f>
        <v/>
      </c>
      <c r="AP25" s="29">
        <f>IF(AP16="", "", AP19+AP21-AP22-AP23)</f>
        <v/>
      </c>
      <c r="AQ25" s="29">
        <f>IF(AQ16="", "", AQ19+AQ21-AQ22-AQ23)</f>
        <v/>
      </c>
      <c r="AR25" s="29">
        <f>IF(AR16="", "", AR19+AR21-AR22-AR23)</f>
        <v/>
      </c>
      <c r="AS25" s="29">
        <f>IF(AS16="", "", AS19+AS21-AS22-AS23)</f>
        <v/>
      </c>
      <c r="AT25" s="29">
        <f>IF(AT16="", "", AT19+AT21-AT22-AT23)</f>
        <v/>
      </c>
      <c r="AU25" s="29">
        <f>IF(AU16="", "", AU19+AU21-AU22-AU23)</f>
        <v/>
      </c>
      <c r="AV25" s="29">
        <f>IF(AV16="", "", AV19+AV21-AV22-AV23)</f>
        <v/>
      </c>
      <c r="AW25" s="29">
        <f>IF(AW16="", "", AW19+AW21-AW22-AW23)</f>
        <v/>
      </c>
      <c r="AX25" s="29">
        <f>IF(AX16="", "", AX19+AX21-AX22-AX23)</f>
        <v/>
      </c>
      <c r="AY25" s="29">
        <f>IF(AY16="", "", AY19+AY21-AY22-AY23)</f>
        <v/>
      </c>
      <c r="AZ25" s="29">
        <f>IF(AZ16="", "", AZ19+AZ21-AZ22-AZ23)</f>
        <v/>
      </c>
      <c r="BA25" s="29">
        <f>IF(BA16="", "", BA19+BA21-BA22-BA23)</f>
        <v/>
      </c>
      <c r="BB25" s="29">
        <f>IF(BB16="", "", BB19+BB21-BB22-BB23)</f>
        <v/>
      </c>
      <c r="BC25" s="29">
        <f>IF(BC16="", "", BC19+BC21-BC22-BC23)</f>
        <v/>
      </c>
      <c r="BD25" s="29">
        <f>IF(BD16="", "", BD19+BD21-BD22-BD23)</f>
        <v/>
      </c>
      <c r="BE25" s="29">
        <f>IF(BE16="", "", BE19+BE21-BE22-BE23)</f>
        <v/>
      </c>
      <c r="BF25" s="29">
        <f>IF(BF16="", "", BF19+BF21-BF22-BF23)</f>
        <v/>
      </c>
      <c r="BG25" s="29">
        <f>IF(BG16="", "", BG19+BG21-BG22-BG23)</f>
        <v/>
      </c>
      <c r="BH25" s="29">
        <f>IF(BH16="", "", BH19+BH21-BH22-BH23)</f>
        <v/>
      </c>
      <c r="BI25" s="29">
        <f>IF(BI16="", "", BI19+BI21-BI22-BI23)</f>
        <v/>
      </c>
      <c r="BJ25" s="29">
        <f>IF(BJ16="", "", BJ19+BJ21-BJ22-BJ23)</f>
        <v/>
      </c>
      <c r="BK25" s="29">
        <f>IF(BK16="", "", BK19+BK21-BK22-BK23)</f>
        <v/>
      </c>
      <c r="BL25" s="29">
        <f>IF(BL16="", "", BL19+BL21-BL22-BL23)</f>
        <v/>
      </c>
      <c r="BM25" s="29">
        <f>IF(BM16="", "", BM19+BM21-BM22-BM23)</f>
        <v/>
      </c>
      <c r="BN25" s="29">
        <f>IF(BN16="", "", BN19+BN21-BN22-BN23)</f>
        <v/>
      </c>
      <c r="BO25" s="29">
        <f>IF(BO16="", "", BO19+BO21-BO22-BO23)</f>
        <v/>
      </c>
      <c r="BP25" s="29">
        <f>IF(BP16="", "", BP19+BP21-BP22-BP23)</f>
        <v/>
      </c>
      <c r="BQ25" s="29">
        <f>IF(BQ16="", "", BQ19+BQ21-BQ22-BQ23)</f>
        <v/>
      </c>
      <c r="BR25" s="29">
        <f>IF(BR16="", "", BR19+BR21-BR22-BR23)</f>
        <v/>
      </c>
      <c r="BS25" s="29">
        <f>IF(BS16="", "", BS19+BS21-BS22-BS23)</f>
        <v/>
      </c>
      <c r="BT25" s="29">
        <f>IF(BT16="", "", BT19+BT21-BT22-BT23)</f>
        <v/>
      </c>
      <c r="BU25" s="29">
        <f>IF(BU16="", "", BU19+BU21-BU22-BU23)</f>
        <v/>
      </c>
      <c r="BV25" s="29">
        <f>IF(BV16="", "", BV19+BV21-BV22-BV23)</f>
        <v/>
      </c>
      <c r="BW25" s="29">
        <f>IF(BW16="", "", BW19+BW21-BW22-BW23)</f>
        <v/>
      </c>
      <c r="BX25" s="29">
        <f>IF(BX16="", "", BX19+BX21-BX22-BX23)</f>
        <v/>
      </c>
      <c r="BY25" s="29">
        <f>IF(BY16="", "", BY19+BY21-BY22-BY23)</f>
        <v/>
      </c>
      <c r="BZ25" s="29">
        <f>IF(BZ16="", "", BZ19+BZ21-BZ22-BZ23)</f>
        <v/>
      </c>
      <c r="CA25" s="29">
        <f>IF(CA16="", "", CA19+CA21-CA22-CA23)</f>
        <v/>
      </c>
      <c r="CB25" s="29">
        <f>IF(CB16="", "", CB19+CB21-CB22-CB23)</f>
        <v/>
      </c>
      <c r="CC25" s="29">
        <f>IF(CC16="", "", CC19+CC21-CC22-CC23)</f>
        <v/>
      </c>
      <c r="CD25" s="29">
        <f>IF(CD16="", "", CD19+CD21-CD22-CD23)</f>
        <v/>
      </c>
      <c r="CE25" s="29">
        <f>IF(CE16="", "", CE19+CE21-CE22-CE23)</f>
        <v/>
      </c>
      <c r="CF25" s="29">
        <f>IF(CF16="", "", CF19+CF21-CF22-CF23)</f>
        <v/>
      </c>
      <c r="CG25" s="29">
        <f>IF(CG16="", "", CG19+CG21-CG22-CG23)</f>
        <v/>
      </c>
      <c r="CH25" s="29">
        <f>IF(CH16="", "", CH19+CH21-CH22-CH23)</f>
        <v/>
      </c>
      <c r="CI25" s="29">
        <f>IF(CI16="", "", CI19+CI21-CI22-CI23)</f>
        <v/>
      </c>
      <c r="CJ25" s="29">
        <f>IF(CJ16="", "", CJ19+CJ21-CJ22-CJ23)</f>
        <v/>
      </c>
      <c r="CK25" s="29">
        <f>IF(CK16="", "", CK19+CK21-CK22-CK23)</f>
        <v/>
      </c>
      <c r="CL25" s="29">
        <f>IF(CL16="", "", CL19+CL21-CL22-CL23)</f>
        <v/>
      </c>
      <c r="CM25" s="30">
        <f>IF(CM16="", "", CM19+CM21-CM22-CM23)</f>
        <v/>
      </c>
    </row>
    <row r="26">
      <c r="B26" s="23" t="inlineStr">
        <is>
          <t>Present Value of FCF</t>
        </is>
      </c>
      <c r="C26" s="31" t="inlineStr"/>
      <c r="D26" s="32">
        <f>IF(OR(D16="", D$15=$E$7),"",PV($G$43,D$16,0,-D$25))</f>
        <v/>
      </c>
      <c r="E26" s="32">
        <f>IF(OR(E16="", E$15=$E$7),"",PV($G$43,E$16,0,-E$25))</f>
        <v/>
      </c>
      <c r="F26" s="32">
        <f>IF(OR(F16="", F$15=$E$7),"",PV($G$43,F$16,0,-F$25))</f>
        <v/>
      </c>
      <c r="G26" s="32">
        <f>IF(OR(G16="", G$15=$E$7),"",PV($G$43,G$16,0,-G$25))</f>
        <v/>
      </c>
      <c r="H26" s="32">
        <f>IF(OR(H16="", H$15=$E$7),"",PV($G$43,H$16,0,-H$25))</f>
        <v/>
      </c>
      <c r="I26" s="32">
        <f>IF(OR(I16="", I$15=$E$7),"",PV($G$43,I$16,0,-I$25))</f>
        <v/>
      </c>
      <c r="J26" s="32">
        <f>IF(OR(J16="", J$15=$E$7),"",PV($G$43,J$16,0,-J$25))</f>
        <v/>
      </c>
      <c r="K26" s="32">
        <f>IF(OR(K16="", K$15=$E$7),"",PV($G$43,K$16,0,-K$25))</f>
        <v/>
      </c>
      <c r="L26" s="32">
        <f>IF(OR(L16="", L$15=$E$7),"",PV($G$43,L$16,0,-L$25))</f>
        <v/>
      </c>
      <c r="M26" s="32">
        <f>IF(OR(M16="", M$15=$E$7),"",PV($G$43,M$16,0,-M$25))</f>
        <v/>
      </c>
      <c r="N26" s="32">
        <f>IF(OR(N16="", N$15=$E$7),"",PV($G$43,N$16,0,-N$25))</f>
        <v/>
      </c>
      <c r="O26" s="32">
        <f>IF(OR(O16="", O$15=$E$7),"",PV($G$43,O$16,0,-O$25))</f>
        <v/>
      </c>
      <c r="P26" s="32">
        <f>IF(OR(P16="", P$15=$E$7),"",PV($G$43,P$16,0,-P$25))</f>
        <v/>
      </c>
      <c r="Q26" s="32">
        <f>IF(OR(Q16="", Q$15=$E$7),"",PV($G$43,Q$16,0,-Q$25))</f>
        <v/>
      </c>
      <c r="R26" s="32">
        <f>IF(OR(R16="", R$15=$E$7),"",PV($G$43,R$16,0,-R$25))</f>
        <v/>
      </c>
      <c r="S26" s="32">
        <f>IF(OR(S16="", S$15=$E$7),"",PV($G$43,S$16,0,-S$25))</f>
        <v/>
      </c>
      <c r="T26" s="32">
        <f>IF(OR(T16="", T$15=$E$7),"",PV($G$43,T$16,0,-T$25))</f>
        <v/>
      </c>
      <c r="U26" s="32">
        <f>IF(OR(U16="", U$15=$E$7),"",PV($G$43,U$16,0,-U$25))</f>
        <v/>
      </c>
      <c r="V26" s="32">
        <f>IF(OR(V16="", V$15=$E$7),"",PV($G$43,V$16,0,-V$25))</f>
        <v/>
      </c>
      <c r="W26" s="32">
        <f>IF(OR(W16="", W$15=$E$7),"",PV($G$43,W$16,0,-W$25))</f>
        <v/>
      </c>
      <c r="X26" s="32">
        <f>IF(OR(X16="", X$15=$E$7),"",PV($G$43,X$16,0,-X$25))</f>
        <v/>
      </c>
      <c r="Y26" s="32">
        <f>IF(OR(Y16="", Y$15=$E$7),"",PV($G$43,Y$16,0,-Y$25))</f>
        <v/>
      </c>
      <c r="Z26" s="32">
        <f>IF(OR(Z16="", Z$15=$E$7),"",PV($G$43,Z$16,0,-Z$25))</f>
        <v/>
      </c>
      <c r="AA26" s="32">
        <f>IF(OR(AA16="", AA$15=$E$7),"",PV($G$43,AA$16,0,-AA$25))</f>
        <v/>
      </c>
      <c r="AB26" s="32">
        <f>IF(OR(AB16="", AB$15=$E$7),"",PV($G$43,AB$16,0,-AB$25))</f>
        <v/>
      </c>
      <c r="AC26" s="32">
        <f>IF(OR(AC16="", AC$15=$E$7),"",PV($G$43,AC$16,0,-AC$25))</f>
        <v/>
      </c>
      <c r="AD26" s="32">
        <f>IF(OR(AD16="", AD$15=$E$7),"",PV($G$43,AD$16,0,-AD$25))</f>
        <v/>
      </c>
      <c r="AE26" s="32">
        <f>IF(OR(AE16="", AE$15=$E$7),"",PV($G$43,AE$16,0,-AE$25))</f>
        <v/>
      </c>
      <c r="AF26" s="32">
        <f>IF(OR(AF16="", AF$15=$E$7),"",PV($G$43,AF$16,0,-AF$25))</f>
        <v/>
      </c>
      <c r="AG26" s="32">
        <f>IF(OR(AG16="", AG$15=$E$7),"",PV($G$43,AG$16,0,-AG$25))</f>
        <v/>
      </c>
      <c r="AH26" s="32">
        <f>IF(OR(AH16="", AH$15=$E$7),"",PV($G$43,AH$16,0,-AH$25))</f>
        <v/>
      </c>
      <c r="AI26" s="32">
        <f>IF(OR(AI16="", AI$15=$E$7),"",PV($G$43,AI$16,0,-AI$25))</f>
        <v/>
      </c>
      <c r="AJ26" s="32">
        <f>IF(OR(AJ16="", AJ$15=$E$7),"",PV($G$43,AJ$16,0,-AJ$25))</f>
        <v/>
      </c>
      <c r="AK26" s="32">
        <f>IF(OR(AK16="", AK$15=$E$7),"",PV($G$43,AK$16,0,-AK$25))</f>
        <v/>
      </c>
      <c r="AL26" s="32">
        <f>IF(OR(AL16="", AL$15=$E$7),"",PV($G$43,AL$16,0,-AL$25))</f>
        <v/>
      </c>
      <c r="AM26" s="32">
        <f>IF(OR(AM16="", AM$15=$E$7),"",PV($G$43,AM$16,0,-AM$25))</f>
        <v/>
      </c>
      <c r="AN26" s="32">
        <f>IF(OR(AN16="", AN$15=$E$7),"",PV($G$43,AN$16,0,-AN$25))</f>
        <v/>
      </c>
      <c r="AO26" s="32">
        <f>IF(OR(AO16="", AO$15=$E$7),"",PV($G$43,AO$16,0,-AO$25))</f>
        <v/>
      </c>
      <c r="AP26" s="32">
        <f>IF(OR(AP16="", AP$15=$E$7),"",PV($G$43,AP$16,0,-AP$25))</f>
        <v/>
      </c>
      <c r="AQ26" s="32">
        <f>IF(OR(AQ16="", AQ$15=$E$7),"",PV($G$43,AQ$16,0,-AQ$25))</f>
        <v/>
      </c>
      <c r="AR26" s="32">
        <f>IF(OR(AR16="", AR$15=$E$7),"",PV($G$43,AR$16,0,-AR$25))</f>
        <v/>
      </c>
      <c r="AS26" s="32">
        <f>IF(OR(AS16="", AS$15=$E$7),"",PV($G$43,AS$16,0,-AS$25))</f>
        <v/>
      </c>
      <c r="AT26" s="32">
        <f>IF(OR(AT16="", AT$15=$E$7),"",PV($G$43,AT$16,0,-AT$25))</f>
        <v/>
      </c>
      <c r="AU26" s="32">
        <f>IF(OR(AU16="", AU$15=$E$7),"",PV($G$43,AU$16,0,-AU$25))</f>
        <v/>
      </c>
      <c r="AV26" s="32">
        <f>IF(OR(AV16="", AV$15=$E$7),"",PV($G$43,AV$16,0,-AV$25))</f>
        <v/>
      </c>
      <c r="AW26" s="32">
        <f>IF(OR(AW16="", AW$15=$E$7),"",PV($G$43,AW$16,0,-AW$25))</f>
        <v/>
      </c>
      <c r="AX26" s="32">
        <f>IF(OR(AX16="", AX$15=$E$7),"",PV($G$43,AX$16,0,-AX$25))</f>
        <v/>
      </c>
      <c r="AY26" s="32">
        <f>IF(OR(AY16="", AY$15=$E$7),"",PV($G$43,AY$16,0,-AY$25))</f>
        <v/>
      </c>
      <c r="AZ26" s="32">
        <f>IF(OR(AZ16="", AZ$15=$E$7),"",PV($G$43,AZ$16,0,-AZ$25))</f>
        <v/>
      </c>
      <c r="BA26" s="32">
        <f>IF(OR(BA16="", BA$15=$E$7),"",PV($G$43,BA$16,0,-BA$25))</f>
        <v/>
      </c>
      <c r="BB26" s="32">
        <f>IF(OR(BB16="", BB$15=$E$7),"",PV($G$43,BB$16,0,-BB$25))</f>
        <v/>
      </c>
      <c r="BC26" s="32">
        <f>IF(OR(BC16="", BC$15=$E$7),"",PV($G$43,BC$16,0,-BC$25))</f>
        <v/>
      </c>
      <c r="BD26" s="32">
        <f>IF(OR(BD16="", BD$15=$E$7),"",PV($G$43,BD$16,0,-BD$25))</f>
        <v/>
      </c>
      <c r="BE26" s="32">
        <f>IF(OR(BE16="", BE$15=$E$7),"",PV($G$43,BE$16,0,-BE$25))</f>
        <v/>
      </c>
      <c r="BF26" s="32">
        <f>IF(OR(BF16="", BF$15=$E$7),"",PV($G$43,BF$16,0,-BF$25))</f>
        <v/>
      </c>
      <c r="BG26" s="32">
        <f>IF(OR(BG16="", BG$15=$E$7),"",PV($G$43,BG$16,0,-BG$25))</f>
        <v/>
      </c>
      <c r="BH26" s="32">
        <f>IF(OR(BH16="", BH$15=$E$7),"",PV($G$43,BH$16,0,-BH$25))</f>
        <v/>
      </c>
      <c r="BI26" s="32">
        <f>IF(OR(BI16="", BI$15=$E$7),"",PV($G$43,BI$16,0,-BI$25))</f>
        <v/>
      </c>
      <c r="BJ26" s="32">
        <f>IF(OR(BJ16="", BJ$15=$E$7),"",PV($G$43,BJ$16,0,-BJ$25))</f>
        <v/>
      </c>
      <c r="BK26" s="32">
        <f>IF(OR(BK16="", BK$15=$E$7),"",PV($G$43,BK$16,0,-BK$25))</f>
        <v/>
      </c>
      <c r="BL26" s="32">
        <f>IF(OR(BL16="", BL$15=$E$7),"",PV($G$43,BL$16,0,-BL$25))</f>
        <v/>
      </c>
      <c r="BM26" s="32">
        <f>IF(OR(BM16="", BM$15=$E$7),"",PV($G$43,BM$16,0,-BM$25))</f>
        <v/>
      </c>
      <c r="BN26" s="32">
        <f>IF(OR(BN16="", BN$15=$E$7),"",PV($G$43,BN$16,0,-BN$25))</f>
        <v/>
      </c>
      <c r="BO26" s="32">
        <f>IF(OR(BO16="", BO$15=$E$7),"",PV($G$43,BO$16,0,-BO$25))</f>
        <v/>
      </c>
      <c r="BP26" s="32">
        <f>IF(OR(BP16="", BP$15=$E$7),"",PV($G$43,BP$16,0,-BP$25))</f>
        <v/>
      </c>
      <c r="BQ26" s="32">
        <f>IF(OR(BQ16="", BQ$15=$E$7),"",PV($G$43,BQ$16,0,-BQ$25))</f>
        <v/>
      </c>
      <c r="BR26" s="32">
        <f>IF(OR(BR16="", BR$15=$E$7),"",PV($G$43,BR$16,0,-BR$25))</f>
        <v/>
      </c>
      <c r="BS26" s="32">
        <f>IF(OR(BS16="", BS$15=$E$7),"",PV($G$43,BS$16,0,-BS$25))</f>
        <v/>
      </c>
      <c r="BT26" s="32">
        <f>IF(OR(BT16="", BT$15=$E$7),"",PV($G$43,BT$16,0,-BT$25))</f>
        <v/>
      </c>
      <c r="BU26" s="32">
        <f>IF(OR(BU16="", BU$15=$E$7),"",PV($G$43,BU$16,0,-BU$25))</f>
        <v/>
      </c>
      <c r="BV26" s="32">
        <f>IF(OR(BV16="", BV$15=$E$7),"",PV($G$43,BV$16,0,-BV$25))</f>
        <v/>
      </c>
      <c r="BW26" s="32">
        <f>IF(OR(BW16="", BW$15=$E$7),"",PV($G$43,BW$16,0,-BW$25))</f>
        <v/>
      </c>
      <c r="BX26" s="32">
        <f>IF(OR(BX16="", BX$15=$E$7),"",PV($G$43,BX$16,0,-BX$25))</f>
        <v/>
      </c>
      <c r="BY26" s="32">
        <f>IF(OR(BY16="", BY$15=$E$7),"",PV($G$43,BY$16,0,-BY$25))</f>
        <v/>
      </c>
      <c r="BZ26" s="32">
        <f>IF(OR(BZ16="", BZ$15=$E$7),"",PV($G$43,BZ$16,0,-BZ$25))</f>
        <v/>
      </c>
      <c r="CA26" s="32">
        <f>IF(OR(CA16="", CA$15=$E$7),"",PV($G$43,CA$16,0,-CA$25))</f>
        <v/>
      </c>
      <c r="CB26" s="32">
        <f>IF(OR(CB16="", CB$15=$E$7),"",PV($G$43,CB$16,0,-CB$25))</f>
        <v/>
      </c>
      <c r="CC26" s="32">
        <f>IF(OR(CC16="", CC$15=$E$7),"",PV($G$43,CC$16,0,-CC$25))</f>
        <v/>
      </c>
      <c r="CD26" s="32">
        <f>IF(OR(CD16="", CD$15=$E$7),"",PV($G$43,CD$16,0,-CD$25))</f>
        <v/>
      </c>
      <c r="CE26" s="32">
        <f>IF(OR(CE16="", CE$15=$E$7),"",PV($G$43,CE$16,0,-CE$25))</f>
        <v/>
      </c>
      <c r="CF26" s="32">
        <f>IF(OR(CF16="", CF$15=$E$7),"",PV($G$43,CF$16,0,-CF$25))</f>
        <v/>
      </c>
      <c r="CG26" s="32">
        <f>IF(OR(CG16="", CG$15=$E$7),"",PV($G$43,CG$16,0,-CG$25))</f>
        <v/>
      </c>
      <c r="CH26" s="32">
        <f>IF(OR(CH16="", CH$15=$E$7),"",PV($G$43,CH$16,0,-CH$25))</f>
        <v/>
      </c>
      <c r="CI26" s="32">
        <f>IF(OR(CI16="", CI$15=$E$7),"",PV($G$43,CI$16,0,-CI$25))</f>
        <v/>
      </c>
      <c r="CJ26" s="32">
        <f>IF(OR(CJ16="", CJ$15=$E$7),"",PV($G$43,CJ$16,0,-CJ$25))</f>
        <v/>
      </c>
      <c r="CK26" s="32">
        <f>IF(OR(CK16="", CK$15=$E$7),"",PV($G$43,CK$16,0,-CK$25))</f>
        <v/>
      </c>
      <c r="CL26" s="32">
        <f>IF(OR(CL16="", CL$15=$E$7),"",PV($G$43,CL$16,0,-CL$25))</f>
        <v/>
      </c>
      <c r="CM26" s="33">
        <f>IF(OR(CM16="", CM$15=$E$7),"",PV($G$43,CM$16,0,-CM$25))</f>
        <v/>
      </c>
    </row>
    <row r="27">
      <c r="B27" t="inlineStr"/>
      <c r="C27" t="inlineStr"/>
      <c r="D27" t="inlineStr"/>
      <c r="E27" t="inlineStr"/>
      <c r="F27" t="inlineStr"/>
      <c r="G27" t="inlineStr"/>
      <c r="H27" t="inlineStr"/>
      <c r="I27" t="inlineStr"/>
      <c r="J27" t="inlineStr"/>
      <c r="K27" t="inlineStr"/>
      <c r="L27" t="inlineStr"/>
      <c r="M27" t="inlineStr"/>
      <c r="N27" t="inlineStr"/>
      <c r="O27" t="inlineStr"/>
      <c r="P27" t="inlineStr"/>
      <c r="Q27" t="inlineStr"/>
      <c r="R27" t="inlineStr"/>
      <c r="S27" t="inlineStr"/>
      <c r="T27" t="inlineStr"/>
      <c r="U27" t="inlineStr"/>
      <c r="V27" t="inlineStr"/>
      <c r="W27" t="inlineStr"/>
      <c r="X27" t="inlineStr"/>
      <c r="Y27" t="inlineStr"/>
      <c r="Z27" t="inlineStr"/>
      <c r="AA27" t="inlineStr"/>
      <c r="AB27" t="inlineStr"/>
      <c r="AC27" t="inlineStr"/>
      <c r="AD27" t="inlineStr"/>
      <c r="AE27" t="inlineStr"/>
      <c r="AF27" t="inlineStr"/>
      <c r="AG27" t="inlineStr"/>
      <c r="AH27" t="inlineStr"/>
      <c r="AI27" t="inlineStr"/>
      <c r="AJ27" t="inlineStr"/>
      <c r="AK27" t="inlineStr"/>
      <c r="AL27" t="inlineStr"/>
      <c r="AM27" t="inlineStr"/>
      <c r="AN27" t="inlineStr"/>
      <c r="AO27" t="inlineStr"/>
      <c r="AP27" t="inlineStr"/>
      <c r="AQ27" t="inlineStr"/>
      <c r="AR27" t="inlineStr"/>
      <c r="AS27" t="inlineStr"/>
      <c r="AT27" t="inlineStr"/>
      <c r="AU27" t="inlineStr"/>
      <c r="AV27" t="inlineStr"/>
      <c r="AW27" t="inlineStr"/>
      <c r="AX27" t="inlineStr"/>
      <c r="AY27" t="inlineStr"/>
      <c r="AZ27" t="inlineStr"/>
      <c r="BA27" t="inlineStr"/>
      <c r="BB27" t="inlineStr"/>
      <c r="BC27" t="inlineStr"/>
      <c r="BD27" t="inlineStr"/>
      <c r="BE27" t="inlineStr"/>
      <c r="BF27" t="inlineStr"/>
      <c r="BG27" t="inlineStr"/>
      <c r="BH27" t="inlineStr"/>
      <c r="BI27" t="inlineStr"/>
      <c r="BJ27" t="inlineStr"/>
      <c r="BK27" t="inlineStr"/>
      <c r="BL27" t="inlineStr"/>
      <c r="BM27" t="inlineStr"/>
      <c r="BN27" t="inlineStr"/>
      <c r="BO27" t="inlineStr"/>
      <c r="BP27" t="inlineStr"/>
      <c r="BQ27" t="inlineStr"/>
      <c r="BR27" t="inlineStr"/>
      <c r="BS27" t="inlineStr"/>
      <c r="BT27" t="inlineStr"/>
      <c r="BU27" t="inlineStr"/>
      <c r="BV27" t="inlineStr"/>
      <c r="BW27" t="inlineStr"/>
      <c r="BX27" t="inlineStr"/>
      <c r="BY27" t="inlineStr"/>
      <c r="BZ27" t="inlineStr"/>
      <c r="CA27" t="inlineStr"/>
      <c r="CB27" t="inlineStr"/>
      <c r="CC27" t="inlineStr"/>
      <c r="CD27" t="inlineStr"/>
      <c r="CE27" t="inlineStr"/>
      <c r="CF27" t="inlineStr"/>
      <c r="CG27" t="inlineStr"/>
      <c r="CH27" t="inlineStr"/>
      <c r="CI27" t="inlineStr"/>
      <c r="CJ27" t="inlineStr"/>
      <c r="CK27" t="inlineStr"/>
      <c r="CL27" t="inlineStr"/>
      <c r="CM27" t="inlineStr"/>
    </row>
    <row r="28">
      <c r="B28" t="inlineStr">
        <is>
          <t>DCF</t>
        </is>
      </c>
      <c r="C28" t="inlineStr"/>
      <c r="D28" t="inlineStr"/>
      <c r="E28" t="inlineStr"/>
      <c r="F28" t="inlineStr">
        <is>
          <t>WACC</t>
        </is>
      </c>
      <c r="G28" t="inlineStr"/>
      <c r="H28" t="inlineStr"/>
      <c r="I28" t="inlineStr"/>
      <c r="J28" t="inlineStr"/>
      <c r="K28" t="inlineStr"/>
      <c r="L28" t="inlineStr"/>
      <c r="M28" t="inlineStr"/>
      <c r="N28" t="inlineStr"/>
      <c r="O28" t="inlineStr"/>
      <c r="P28" t="inlineStr"/>
      <c r="Q28" t="inlineStr"/>
      <c r="R28" t="inlineStr"/>
      <c r="S28" t="inlineStr"/>
      <c r="T28" t="inlineStr"/>
      <c r="U28" t="inlineStr"/>
      <c r="V28" t="inlineStr"/>
      <c r="W28" t="inlineStr"/>
      <c r="X28" t="inlineStr"/>
      <c r="Y28" t="inlineStr"/>
      <c r="Z28" t="inlineStr"/>
      <c r="AA28" t="inlineStr"/>
      <c r="AB28" t="inlineStr"/>
      <c r="AC28" t="inlineStr"/>
      <c r="AD28" t="inlineStr"/>
      <c r="AE28" t="inlineStr"/>
      <c r="AF28" t="inlineStr"/>
      <c r="AG28" t="inlineStr"/>
      <c r="AH28" t="inlineStr"/>
      <c r="AI28" t="inlineStr"/>
      <c r="AJ28" t="inlineStr"/>
      <c r="AK28" t="inlineStr"/>
      <c r="AL28" t="inlineStr"/>
      <c r="AM28" t="inlineStr"/>
      <c r="AN28" t="inlineStr"/>
      <c r="AO28" t="inlineStr"/>
      <c r="AP28" t="inlineStr"/>
      <c r="AQ28" t="inlineStr"/>
      <c r="AR28" t="inlineStr"/>
      <c r="AS28" t="inlineStr"/>
      <c r="AT28" t="inlineStr"/>
      <c r="AU28" t="inlineStr"/>
      <c r="AV28" t="inlineStr"/>
      <c r="AW28" t="inlineStr"/>
      <c r="AX28" t="inlineStr"/>
      <c r="AY28" t="inlineStr"/>
      <c r="AZ28" t="inlineStr"/>
      <c r="BA28" t="inlineStr"/>
      <c r="BB28" t="inlineStr"/>
      <c r="BC28" t="inlineStr"/>
      <c r="BD28" t="inlineStr"/>
      <c r="BE28" t="inlineStr"/>
      <c r="BF28" t="inlineStr"/>
      <c r="BG28" t="inlineStr"/>
      <c r="BH28" t="inlineStr"/>
      <c r="BI28" t="inlineStr"/>
      <c r="BJ28" t="inlineStr"/>
      <c r="BK28" t="inlineStr"/>
      <c r="BL28" t="inlineStr"/>
      <c r="BM28" t="inlineStr"/>
      <c r="BN28" t="inlineStr"/>
      <c r="BO28" t="inlineStr"/>
      <c r="BP28" t="inlineStr"/>
      <c r="BQ28" t="inlineStr"/>
      <c r="BR28" t="inlineStr"/>
      <c r="BS28" t="inlineStr"/>
      <c r="BT28" t="inlineStr"/>
      <c r="BU28" t="inlineStr"/>
      <c r="BV28" t="inlineStr"/>
      <c r="BW28" t="inlineStr"/>
      <c r="BX28" t="inlineStr"/>
      <c r="BY28" t="inlineStr"/>
      <c r="BZ28" t="inlineStr"/>
      <c r="CA28" t="inlineStr"/>
      <c r="CB28" t="inlineStr"/>
      <c r="CC28" t="inlineStr"/>
      <c r="CD28" t="inlineStr"/>
      <c r="CE28" t="inlineStr"/>
      <c r="CF28" t="inlineStr"/>
      <c r="CG28" t="inlineStr"/>
      <c r="CH28" t="inlineStr"/>
      <c r="CI28" t="inlineStr"/>
      <c r="CJ28" t="inlineStr"/>
      <c r="CK28" t="inlineStr"/>
      <c r="CL28" t="inlineStr"/>
      <c r="CM28" t="inlineStr"/>
    </row>
    <row r="29">
      <c r="B29" s="15" t="inlineStr">
        <is>
          <t>Net Present Value of FCF</t>
        </is>
      </c>
      <c r="C29" s="34">
        <f>SUM(OFFSET(D26,0,0,1,('Model_Assumptions'!B8)))</f>
        <v/>
      </c>
      <c r="D29" t="inlineStr"/>
      <c r="E29" t="inlineStr"/>
      <c r="F29" s="15" t="inlineStr">
        <is>
          <t>Total Debt</t>
        </is>
      </c>
      <c r="G29" s="34" t="n">
        <v>111302400000</v>
      </c>
      <c r="H29" t="inlineStr"/>
      <c r="I29" t="inlineStr"/>
      <c r="J29" t="inlineStr"/>
      <c r="K29" t="inlineStr"/>
      <c r="L29" t="inlineStr"/>
      <c r="M29" t="inlineStr"/>
      <c r="N29" t="inlineStr"/>
      <c r="O29" t="inlineStr"/>
      <c r="P29" t="inlineStr"/>
      <c r="Q29" t="inlineStr"/>
      <c r="R29" t="inlineStr"/>
      <c r="S29" t="inlineStr"/>
      <c r="T29" t="inlineStr"/>
      <c r="U29" t="inlineStr"/>
      <c r="V29" t="inlineStr"/>
      <c r="W29" t="inlineStr"/>
      <c r="X29" t="inlineStr"/>
      <c r="Y29" t="inlineStr"/>
      <c r="Z29" t="inlineStr"/>
      <c r="AA29" t="inlineStr"/>
      <c r="AB29" t="inlineStr"/>
      <c r="AC29" t="inlineStr"/>
      <c r="AD29" t="inlineStr"/>
      <c r="AE29" t="inlineStr"/>
      <c r="AF29" t="inlineStr"/>
      <c r="AG29" t="inlineStr"/>
      <c r="AH29" t="inlineStr"/>
      <c r="AI29" t="inlineStr"/>
      <c r="AJ29" t="inlineStr"/>
      <c r="AK29" t="inlineStr"/>
      <c r="AL29" t="inlineStr"/>
      <c r="AM29" t="inlineStr"/>
      <c r="AN29" t="inlineStr"/>
      <c r="AO29" t="inlineStr"/>
      <c r="AP29" t="inlineStr"/>
      <c r="AQ29" t="inlineStr"/>
      <c r="AR29" t="inlineStr"/>
      <c r="AS29" t="inlineStr"/>
      <c r="AT29" t="inlineStr"/>
      <c r="AU29" t="inlineStr"/>
      <c r="AV29" t="inlineStr"/>
      <c r="AW29" t="inlineStr"/>
      <c r="AX29" t="inlineStr"/>
      <c r="AY29" t="inlineStr"/>
      <c r="AZ29" t="inlineStr"/>
      <c r="BA29" t="inlineStr"/>
      <c r="BB29" t="inlineStr"/>
      <c r="BC29" t="inlineStr"/>
      <c r="BD29" t="inlineStr"/>
      <c r="BE29" t="inlineStr"/>
      <c r="BF29" t="inlineStr"/>
      <c r="BG29" t="inlineStr"/>
      <c r="BH29" t="inlineStr"/>
      <c r="BI29" t="inlineStr"/>
      <c r="BJ29" t="inlineStr"/>
      <c r="BK29" t="inlineStr"/>
      <c r="BL29" t="inlineStr"/>
      <c r="BM29" t="inlineStr"/>
      <c r="BN29" t="inlineStr"/>
      <c r="BO29" t="inlineStr"/>
      <c r="BP29" t="inlineStr"/>
      <c r="BQ29" t="inlineStr"/>
      <c r="BR29" t="inlineStr"/>
      <c r="BS29" t="inlineStr"/>
      <c r="BT29" t="inlineStr"/>
      <c r="BU29" t="inlineStr"/>
      <c r="BV29" t="inlineStr"/>
      <c r="BW29" t="inlineStr"/>
      <c r="BX29" t="inlineStr"/>
      <c r="BY29" t="inlineStr"/>
      <c r="BZ29" t="inlineStr"/>
      <c r="CA29" t="inlineStr"/>
      <c r="CB29" t="inlineStr"/>
      <c r="CC29" t="inlineStr"/>
      <c r="CD29" t="inlineStr"/>
      <c r="CE29" t="inlineStr"/>
      <c r="CF29" t="inlineStr"/>
      <c r="CG29" t="inlineStr"/>
      <c r="CH29" t="inlineStr"/>
      <c r="CI29" t="inlineStr"/>
      <c r="CJ29" t="inlineStr"/>
      <c r="CK29" t="inlineStr"/>
      <c r="CL29" t="inlineStr"/>
      <c r="CM29" t="inlineStr"/>
    </row>
    <row r="30">
      <c r="B30" s="19" t="inlineStr">
        <is>
          <t xml:space="preserve">Terminal Value </t>
        </is>
      </c>
      <c r="C30" s="35">
        <f>INDEX(B15:BI25,11,'Model_Assumptions'!B8+3)/($G$43-'Model_Assumptions'!$E$8)</f>
        <v/>
      </c>
      <c r="D30" t="inlineStr"/>
      <c r="E30" t="inlineStr"/>
      <c r="F30" s="19" t="inlineStr">
        <is>
          <t>Current Share Price</t>
        </is>
      </c>
      <c r="G30" s="36" t="n">
        <v>250.12</v>
      </c>
      <c r="H30" t="inlineStr"/>
      <c r="I30" t="inlineStr"/>
      <c r="J30" t="inlineStr"/>
      <c r="K30" t="inlineStr"/>
      <c r="L30" t="inlineStr"/>
      <c r="M30" t="inlineStr"/>
      <c r="N30" t="inlineStr"/>
      <c r="O30" t="inlineStr"/>
      <c r="P30" t="inlineStr"/>
      <c r="Q30" t="inlineStr"/>
      <c r="R30" t="inlineStr"/>
      <c r="S30" t="inlineStr"/>
      <c r="T30" t="inlineStr"/>
      <c r="U30" t="inlineStr"/>
      <c r="V30" t="inlineStr"/>
      <c r="W30" t="inlineStr"/>
      <c r="X30" t="inlineStr"/>
      <c r="Y30" t="inlineStr"/>
      <c r="Z30" t="inlineStr"/>
      <c r="AA30" t="inlineStr"/>
      <c r="AB30" t="inlineStr"/>
      <c r="AC30" t="inlineStr"/>
      <c r="AD30" t="inlineStr"/>
      <c r="AE30" t="inlineStr"/>
      <c r="AF30" t="inlineStr"/>
      <c r="AG30" t="inlineStr"/>
      <c r="AH30" t="inlineStr"/>
      <c r="AI30" t="inlineStr"/>
      <c r="AJ30" t="inlineStr"/>
      <c r="AK30" t="inlineStr"/>
      <c r="AL30" t="inlineStr"/>
      <c r="AM30" t="inlineStr"/>
      <c r="AN30" t="inlineStr"/>
      <c r="AO30" t="inlineStr"/>
      <c r="AP30" t="inlineStr"/>
      <c r="AQ30" t="inlineStr"/>
      <c r="AR30" t="inlineStr"/>
      <c r="AS30" t="inlineStr"/>
      <c r="AT30" t="inlineStr"/>
      <c r="AU30" t="inlineStr"/>
      <c r="AV30" t="inlineStr"/>
      <c r="AW30" t="inlineStr"/>
      <c r="AX30" t="inlineStr"/>
      <c r="AY30" t="inlineStr"/>
      <c r="AZ30" t="inlineStr"/>
      <c r="BA30" t="inlineStr"/>
      <c r="BB30" t="inlineStr"/>
      <c r="BC30" t="inlineStr"/>
      <c r="BD30" t="inlineStr"/>
      <c r="BE30" t="inlineStr"/>
      <c r="BF30" t="inlineStr"/>
      <c r="BG30" t="inlineStr"/>
      <c r="BH30" t="inlineStr"/>
      <c r="BI30" t="inlineStr"/>
      <c r="BJ30" t="inlineStr"/>
      <c r="BK30" t="inlineStr"/>
      <c r="BL30" t="inlineStr"/>
      <c r="BM30" t="inlineStr"/>
      <c r="BN30" t="inlineStr"/>
      <c r="BO30" t="inlineStr"/>
      <c r="BP30" t="inlineStr"/>
      <c r="BQ30" t="inlineStr"/>
      <c r="BR30" t="inlineStr"/>
      <c r="BS30" t="inlineStr"/>
      <c r="BT30" t="inlineStr"/>
      <c r="BU30" t="inlineStr"/>
      <c r="BV30" t="inlineStr"/>
      <c r="BW30" t="inlineStr"/>
      <c r="BX30" t="inlineStr"/>
      <c r="BY30" t="inlineStr"/>
      <c r="BZ30" t="inlineStr"/>
      <c r="CA30" t="inlineStr"/>
      <c r="CB30" t="inlineStr"/>
      <c r="CC30" t="inlineStr"/>
      <c r="CD30" t="inlineStr"/>
      <c r="CE30" t="inlineStr"/>
      <c r="CF30" t="inlineStr"/>
      <c r="CG30" t="inlineStr"/>
      <c r="CH30" t="inlineStr"/>
      <c r="CI30" t="inlineStr"/>
      <c r="CJ30" t="inlineStr"/>
      <c r="CK30" t="inlineStr"/>
      <c r="CL30" t="inlineStr"/>
      <c r="CM30" t="inlineStr"/>
    </row>
    <row r="31">
      <c r="B31" s="19" t="inlineStr">
        <is>
          <t>Present Value of Terminal Value</t>
        </is>
      </c>
      <c r="C31" s="37">
        <f>PV(H43, 'Model_Assumptions'!$B$8+1, 0, -$C$30)</f>
        <v/>
      </c>
      <c r="D31" t="inlineStr"/>
      <c r="E31" t="inlineStr"/>
      <c r="F31" s="19" t="inlineStr">
        <is>
          <t>Weighted Average Shares Outstanding</t>
        </is>
      </c>
      <c r="G31" s="37" t="n">
        <v>15004697000</v>
      </c>
      <c r="H31" t="inlineStr"/>
      <c r="I31" t="inlineStr"/>
      <c r="J31" t="inlineStr"/>
      <c r="K31" t="inlineStr"/>
      <c r="L31" t="inlineStr"/>
      <c r="M31" t="inlineStr"/>
      <c r="N31" t="inlineStr"/>
      <c r="O31" t="inlineStr"/>
      <c r="P31" t="inlineStr"/>
      <c r="Q31" t="inlineStr"/>
      <c r="R31" t="inlineStr"/>
      <c r="S31" t="inlineStr"/>
      <c r="T31" t="inlineStr"/>
      <c r="U31" t="inlineStr"/>
      <c r="V31" t="inlineStr"/>
      <c r="W31" t="inlineStr"/>
      <c r="X31" t="inlineStr"/>
      <c r="Y31" t="inlineStr"/>
      <c r="Z31" t="inlineStr"/>
      <c r="AA31" t="inlineStr"/>
      <c r="AB31" t="inlineStr"/>
      <c r="AC31" t="inlineStr"/>
      <c r="AD31" t="inlineStr"/>
      <c r="AE31" t="inlineStr"/>
      <c r="AF31" t="inlineStr"/>
      <c r="AG31" t="inlineStr"/>
      <c r="AH31" t="inlineStr"/>
      <c r="AI31" t="inlineStr"/>
      <c r="AJ31" t="inlineStr"/>
      <c r="AK31" t="inlineStr"/>
      <c r="AL31" t="inlineStr"/>
      <c r="AM31" t="inlineStr"/>
      <c r="AN31" t="inlineStr"/>
      <c r="AO31" t="inlineStr"/>
      <c r="AP31" t="inlineStr"/>
      <c r="AQ31" t="inlineStr"/>
      <c r="AR31" t="inlineStr"/>
      <c r="AS31" t="inlineStr"/>
      <c r="AT31" t="inlineStr"/>
      <c r="AU31" t="inlineStr"/>
      <c r="AV31" t="inlineStr"/>
      <c r="AW31" t="inlineStr"/>
      <c r="AX31" t="inlineStr"/>
      <c r="AY31" t="inlineStr"/>
      <c r="AZ31" t="inlineStr"/>
      <c r="BA31" t="inlineStr"/>
      <c r="BB31" t="inlineStr"/>
      <c r="BC31" t="inlineStr"/>
      <c r="BD31" t="inlineStr"/>
      <c r="BE31" t="inlineStr"/>
      <c r="BF31" t="inlineStr"/>
      <c r="BG31" t="inlineStr"/>
      <c r="BH31" t="inlineStr"/>
      <c r="BI31" t="inlineStr"/>
      <c r="BJ31" t="inlineStr"/>
      <c r="BK31" t="inlineStr"/>
      <c r="BL31" t="inlineStr"/>
      <c r="BM31" t="inlineStr"/>
      <c r="BN31" t="inlineStr"/>
      <c r="BO31" t="inlineStr"/>
      <c r="BP31" t="inlineStr"/>
      <c r="BQ31" t="inlineStr"/>
      <c r="BR31" t="inlineStr"/>
      <c r="BS31" t="inlineStr"/>
      <c r="BT31" t="inlineStr"/>
      <c r="BU31" t="inlineStr"/>
      <c r="BV31" t="inlineStr"/>
      <c r="BW31" t="inlineStr"/>
      <c r="BX31" t="inlineStr"/>
      <c r="BY31" t="inlineStr"/>
      <c r="BZ31" t="inlineStr"/>
      <c r="CA31" t="inlineStr"/>
      <c r="CB31" t="inlineStr"/>
      <c r="CC31" t="inlineStr"/>
      <c r="CD31" t="inlineStr"/>
      <c r="CE31" t="inlineStr"/>
      <c r="CF31" t="inlineStr"/>
      <c r="CG31" t="inlineStr"/>
      <c r="CH31" t="inlineStr"/>
      <c r="CI31" t="inlineStr"/>
      <c r="CJ31" t="inlineStr"/>
      <c r="CK31" t="inlineStr"/>
      <c r="CL31" t="inlineStr"/>
      <c r="CM31" t="inlineStr"/>
    </row>
    <row r="32">
      <c r="B32" s="23" t="inlineStr">
        <is>
          <t>Enterprise Value</t>
        </is>
      </c>
      <c r="C32" s="38">
        <f>$C$31 + $C$29</f>
        <v/>
      </c>
      <c r="D32" t="inlineStr"/>
      <c r="E32" t="inlineStr"/>
      <c r="F32" s="19" t="inlineStr">
        <is>
          <t>Market Value of Equity</t>
        </is>
      </c>
      <c r="G32" s="35">
        <f>$G$30*$G$31</f>
        <v/>
      </c>
      <c r="H32" t="inlineStr"/>
      <c r="I32" t="inlineStr"/>
      <c r="J32" t="inlineStr"/>
      <c r="K32" t="inlineStr"/>
      <c r="L32" t="inlineStr"/>
      <c r="M32" t="inlineStr"/>
      <c r="N32" t="inlineStr"/>
      <c r="O32" t="inlineStr"/>
      <c r="P32" t="inlineStr"/>
      <c r="Q32" t="inlineStr"/>
      <c r="R32" t="inlineStr"/>
      <c r="S32" t="inlineStr"/>
      <c r="T32" t="inlineStr"/>
      <c r="U32" t="inlineStr"/>
      <c r="V32" t="inlineStr"/>
      <c r="W32" t="inlineStr"/>
      <c r="X32" t="inlineStr"/>
      <c r="Y32" t="inlineStr"/>
      <c r="Z32" t="inlineStr"/>
      <c r="AA32" t="inlineStr"/>
      <c r="AB32" t="inlineStr"/>
      <c r="AC32" t="inlineStr"/>
      <c r="AD32" t="inlineStr"/>
      <c r="AE32" t="inlineStr"/>
      <c r="AF32" t="inlineStr"/>
      <c r="AG32" t="inlineStr"/>
      <c r="AH32" t="inlineStr"/>
      <c r="AI32" t="inlineStr"/>
      <c r="AJ32" t="inlineStr"/>
      <c r="AK32" t="inlineStr"/>
      <c r="AL32" t="inlineStr"/>
      <c r="AM32" t="inlineStr"/>
      <c r="AN32" t="inlineStr"/>
      <c r="AO32" t="inlineStr"/>
      <c r="AP32" t="inlineStr"/>
      <c r="AQ32" t="inlineStr"/>
      <c r="AR32" t="inlineStr"/>
      <c r="AS32" t="inlineStr"/>
      <c r="AT32" t="inlineStr"/>
      <c r="AU32" t="inlineStr"/>
      <c r="AV32" t="inlineStr"/>
      <c r="AW32" t="inlineStr"/>
      <c r="AX32" t="inlineStr"/>
      <c r="AY32" t="inlineStr"/>
      <c r="AZ32" t="inlineStr"/>
      <c r="BA32" t="inlineStr"/>
      <c r="BB32" t="inlineStr"/>
      <c r="BC32" t="inlineStr"/>
      <c r="BD32" t="inlineStr"/>
      <c r="BE32" t="inlineStr"/>
      <c r="BF32" t="inlineStr"/>
      <c r="BG32" t="inlineStr"/>
      <c r="BH32" t="inlineStr"/>
      <c r="BI32" t="inlineStr"/>
      <c r="BJ32" t="inlineStr"/>
      <c r="BK32" t="inlineStr"/>
      <c r="BL32" t="inlineStr"/>
      <c r="BM32" t="inlineStr"/>
      <c r="BN32" t="inlineStr"/>
      <c r="BO32" t="inlineStr"/>
      <c r="BP32" t="inlineStr"/>
      <c r="BQ32" t="inlineStr"/>
      <c r="BR32" t="inlineStr"/>
      <c r="BS32" t="inlineStr"/>
      <c r="BT32" t="inlineStr"/>
      <c r="BU32" t="inlineStr"/>
      <c r="BV32" t="inlineStr"/>
      <c r="BW32" t="inlineStr"/>
      <c r="BX32" t="inlineStr"/>
      <c r="BY32" t="inlineStr"/>
      <c r="BZ32" t="inlineStr"/>
      <c r="CA32" t="inlineStr"/>
      <c r="CB32" t="inlineStr"/>
      <c r="CC32" t="inlineStr"/>
      <c r="CD32" t="inlineStr"/>
      <c r="CE32" t="inlineStr"/>
      <c r="CF32" t="inlineStr"/>
      <c r="CG32" t="inlineStr"/>
      <c r="CH32" t="inlineStr"/>
      <c r="CI32" t="inlineStr"/>
      <c r="CJ32" t="inlineStr"/>
      <c r="CK32" t="inlineStr"/>
      <c r="CL32" t="inlineStr"/>
      <c r="CM32" t="inlineStr"/>
    </row>
    <row r="33">
      <c r="B33" s="39" t="inlineStr"/>
      <c r="C33" s="40" t="inlineStr"/>
      <c r="D33" t="inlineStr"/>
      <c r="E33" t="inlineStr"/>
      <c r="F33" s="19" t="inlineStr">
        <is>
          <t>Weight of Equity</t>
        </is>
      </c>
      <c r="G33" s="41">
        <f>$G$32/($G$29+$G$32)</f>
        <v/>
      </c>
      <c r="H33" t="inlineStr"/>
      <c r="I33" t="inlineStr"/>
      <c r="J33" t="inlineStr"/>
      <c r="K33" t="inlineStr"/>
      <c r="L33" t="inlineStr"/>
      <c r="M33" t="inlineStr"/>
      <c r="N33" t="inlineStr"/>
      <c r="O33" t="inlineStr"/>
      <c r="P33" t="inlineStr"/>
      <c r="Q33" t="inlineStr"/>
      <c r="R33" t="inlineStr"/>
      <c r="S33" t="inlineStr"/>
      <c r="T33" t="inlineStr"/>
      <c r="U33" t="inlineStr"/>
      <c r="V33" t="inlineStr"/>
      <c r="W33" t="inlineStr"/>
      <c r="X33" t="inlineStr"/>
      <c r="Y33" t="inlineStr"/>
      <c r="Z33" t="inlineStr"/>
      <c r="AA33" t="inlineStr"/>
      <c r="AB33" t="inlineStr"/>
      <c r="AC33" t="inlineStr"/>
      <c r="AD33" t="inlineStr"/>
      <c r="AE33" t="inlineStr"/>
      <c r="AF33" t="inlineStr"/>
      <c r="AG33" t="inlineStr"/>
      <c r="AH33" t="inlineStr"/>
      <c r="AI33" t="inlineStr"/>
      <c r="AJ33" t="inlineStr"/>
      <c r="AK33" t="inlineStr"/>
      <c r="AL33" t="inlineStr"/>
      <c r="AM33" t="inlineStr"/>
      <c r="AN33" t="inlineStr"/>
      <c r="AO33" t="inlineStr"/>
      <c r="AP33" t="inlineStr"/>
      <c r="AQ33" t="inlineStr"/>
      <c r="AR33" t="inlineStr"/>
      <c r="AS33" t="inlineStr"/>
      <c r="AT33" t="inlineStr"/>
      <c r="AU33" t="inlineStr"/>
      <c r="AV33" t="inlineStr"/>
      <c r="AW33" t="inlineStr"/>
      <c r="AX33" t="inlineStr"/>
      <c r="AY33" t="inlineStr"/>
      <c r="AZ33" t="inlineStr"/>
      <c r="BA33" t="inlineStr"/>
      <c r="BB33" t="inlineStr"/>
      <c r="BC33" t="inlineStr"/>
      <c r="BD33" t="inlineStr"/>
      <c r="BE33" t="inlineStr"/>
      <c r="BF33" t="inlineStr"/>
      <c r="BG33" t="inlineStr"/>
      <c r="BH33" t="inlineStr"/>
      <c r="BI33" t="inlineStr"/>
      <c r="BJ33" t="inlineStr"/>
      <c r="BK33" t="inlineStr"/>
      <c r="BL33" t="inlineStr"/>
      <c r="BM33" t="inlineStr"/>
      <c r="BN33" t="inlineStr"/>
      <c r="BO33" t="inlineStr"/>
      <c r="BP33" t="inlineStr"/>
      <c r="BQ33" t="inlineStr"/>
      <c r="BR33" t="inlineStr"/>
      <c r="BS33" t="inlineStr"/>
      <c r="BT33" t="inlineStr"/>
      <c r="BU33" t="inlineStr"/>
      <c r="BV33" t="inlineStr"/>
      <c r="BW33" t="inlineStr"/>
      <c r="BX33" t="inlineStr"/>
      <c r="BY33" t="inlineStr"/>
      <c r="BZ33" t="inlineStr"/>
      <c r="CA33" t="inlineStr"/>
      <c r="CB33" t="inlineStr"/>
      <c r="CC33" t="inlineStr"/>
      <c r="CD33" t="inlineStr"/>
      <c r="CE33" t="inlineStr"/>
      <c r="CF33" t="inlineStr"/>
      <c r="CG33" t="inlineStr"/>
      <c r="CH33" t="inlineStr"/>
      <c r="CI33" t="inlineStr"/>
      <c r="CJ33" t="inlineStr"/>
      <c r="CK33" t="inlineStr"/>
      <c r="CL33" t="inlineStr"/>
      <c r="CM33" t="inlineStr"/>
    </row>
    <row r="34">
      <c r="B34" s="15" t="inlineStr">
        <is>
          <t>+ Excess Cash</t>
        </is>
      </c>
      <c r="C34" s="34" t="n">
        <v>0</v>
      </c>
      <c r="D34" t="inlineStr"/>
      <c r="E34" t="inlineStr"/>
      <c r="F34" s="23" t="inlineStr">
        <is>
          <t>Weight of Debt</t>
        </is>
      </c>
      <c r="G34" s="42">
        <f>$G$29/($G$29+$G$32)</f>
        <v/>
      </c>
      <c r="H34" t="inlineStr"/>
      <c r="I34" t="inlineStr"/>
      <c r="J34" t="inlineStr"/>
      <c r="K34" t="inlineStr"/>
      <c r="L34" t="inlineStr"/>
      <c r="M34" t="inlineStr"/>
      <c r="N34" t="inlineStr"/>
      <c r="O34" t="inlineStr"/>
      <c r="P34" t="inlineStr"/>
      <c r="Q34" t="inlineStr"/>
      <c r="R34" t="inlineStr"/>
      <c r="S34" t="inlineStr"/>
      <c r="T34" t="inlineStr"/>
      <c r="U34" t="inlineStr"/>
      <c r="V34" t="inlineStr"/>
      <c r="W34" t="inlineStr"/>
      <c r="X34" t="inlineStr"/>
      <c r="Y34" t="inlineStr"/>
      <c r="Z34" t="inlineStr"/>
      <c r="AA34" t="inlineStr"/>
      <c r="AB34" t="inlineStr"/>
      <c r="AC34" t="inlineStr"/>
      <c r="AD34" t="inlineStr"/>
      <c r="AE34" t="inlineStr"/>
      <c r="AF34" t="inlineStr"/>
      <c r="AG34" t="inlineStr"/>
      <c r="AH34" t="inlineStr"/>
      <c r="AI34" t="inlineStr"/>
      <c r="AJ34" t="inlineStr"/>
      <c r="AK34" t="inlineStr"/>
      <c r="AL34" t="inlineStr"/>
      <c r="AM34" t="inlineStr"/>
      <c r="AN34" t="inlineStr"/>
      <c r="AO34" t="inlineStr"/>
      <c r="AP34" t="inlineStr"/>
      <c r="AQ34" t="inlineStr"/>
      <c r="AR34" t="inlineStr"/>
      <c r="AS34" t="inlineStr"/>
      <c r="AT34" t="inlineStr"/>
      <c r="AU34" t="inlineStr"/>
      <c r="AV34" t="inlineStr"/>
      <c r="AW34" t="inlineStr"/>
      <c r="AX34" t="inlineStr"/>
      <c r="AY34" t="inlineStr"/>
      <c r="AZ34" t="inlineStr"/>
      <c r="BA34" t="inlineStr"/>
      <c r="BB34" t="inlineStr"/>
      <c r="BC34" t="inlineStr"/>
      <c r="BD34" t="inlineStr"/>
      <c r="BE34" t="inlineStr"/>
      <c r="BF34" t="inlineStr"/>
      <c r="BG34" t="inlineStr"/>
      <c r="BH34" t="inlineStr"/>
      <c r="BI34" t="inlineStr"/>
      <c r="BJ34" t="inlineStr"/>
      <c r="BK34" t="inlineStr"/>
      <c r="BL34" t="inlineStr"/>
      <c r="BM34" t="inlineStr"/>
      <c r="BN34" t="inlineStr"/>
      <c r="BO34" t="inlineStr"/>
      <c r="BP34" t="inlineStr"/>
      <c r="BQ34" t="inlineStr"/>
      <c r="BR34" t="inlineStr"/>
      <c r="BS34" t="inlineStr"/>
      <c r="BT34" t="inlineStr"/>
      <c r="BU34" t="inlineStr"/>
      <c r="BV34" t="inlineStr"/>
      <c r="BW34" t="inlineStr"/>
      <c r="BX34" t="inlineStr"/>
      <c r="BY34" t="inlineStr"/>
      <c r="BZ34" t="inlineStr"/>
      <c r="CA34" t="inlineStr"/>
      <c r="CB34" t="inlineStr"/>
      <c r="CC34" t="inlineStr"/>
      <c r="CD34" t="inlineStr"/>
      <c r="CE34" t="inlineStr"/>
      <c r="CF34" t="inlineStr"/>
      <c r="CG34" t="inlineStr"/>
      <c r="CH34" t="inlineStr"/>
      <c r="CI34" t="inlineStr"/>
      <c r="CJ34" t="inlineStr"/>
      <c r="CK34" t="inlineStr"/>
      <c r="CL34" t="inlineStr"/>
      <c r="CM34" t="inlineStr"/>
    </row>
    <row r="35">
      <c r="B35" s="23" t="inlineStr">
        <is>
          <t>- Total Debt</t>
        </is>
      </c>
      <c r="C35" s="38" t="n">
        <v>111302400000</v>
      </c>
      <c r="D35" t="inlineStr"/>
      <c r="E35" t="inlineStr"/>
      <c r="F35" s="39" t="inlineStr"/>
      <c r="G35" s="40" t="inlineStr"/>
      <c r="H35" t="inlineStr"/>
      <c r="I35" t="inlineStr"/>
      <c r="J35" t="inlineStr"/>
      <c r="K35" t="inlineStr"/>
      <c r="L35" t="inlineStr"/>
      <c r="M35" t="inlineStr"/>
      <c r="N35" t="inlineStr"/>
      <c r="O35" t="inlineStr"/>
      <c r="P35" t="inlineStr"/>
      <c r="Q35" t="inlineStr"/>
      <c r="R35" t="inlineStr"/>
      <c r="S35" t="inlineStr"/>
      <c r="T35" t="inlineStr"/>
      <c r="U35" t="inlineStr"/>
      <c r="V35" t="inlineStr"/>
      <c r="W35" t="inlineStr"/>
      <c r="X35" t="inlineStr"/>
      <c r="Y35" t="inlineStr"/>
      <c r="Z35" t="inlineStr"/>
      <c r="AA35" t="inlineStr"/>
      <c r="AB35" t="inlineStr"/>
      <c r="AC35" t="inlineStr"/>
      <c r="AD35" t="inlineStr"/>
      <c r="AE35" t="inlineStr"/>
      <c r="AF35" t="inlineStr"/>
      <c r="AG35" t="inlineStr"/>
      <c r="AH35" t="inlineStr"/>
      <c r="AI35" t="inlineStr"/>
      <c r="AJ35" t="inlineStr"/>
      <c r="AK35" t="inlineStr"/>
      <c r="AL35" t="inlineStr"/>
      <c r="AM35" t="inlineStr"/>
      <c r="AN35" t="inlineStr"/>
      <c r="AO35" t="inlineStr"/>
      <c r="AP35" t="inlineStr"/>
      <c r="AQ35" t="inlineStr"/>
      <c r="AR35" t="inlineStr"/>
      <c r="AS35" t="inlineStr"/>
      <c r="AT35" t="inlineStr"/>
      <c r="AU35" t="inlineStr"/>
      <c r="AV35" t="inlineStr"/>
      <c r="AW35" t="inlineStr"/>
      <c r="AX35" t="inlineStr"/>
      <c r="AY35" t="inlineStr"/>
      <c r="AZ35" t="inlineStr"/>
      <c r="BA35" t="inlineStr"/>
      <c r="BB35" t="inlineStr"/>
      <c r="BC35" t="inlineStr"/>
      <c r="BD35" t="inlineStr"/>
      <c r="BE35" t="inlineStr"/>
      <c r="BF35" t="inlineStr"/>
      <c r="BG35" t="inlineStr"/>
      <c r="BH35" t="inlineStr"/>
      <c r="BI35" t="inlineStr"/>
      <c r="BJ35" t="inlineStr"/>
      <c r="BK35" t="inlineStr"/>
      <c r="BL35" t="inlineStr"/>
      <c r="BM35" t="inlineStr"/>
      <c r="BN35" t="inlineStr"/>
      <c r="BO35" t="inlineStr"/>
      <c r="BP35" t="inlineStr"/>
      <c r="BQ35" t="inlineStr"/>
      <c r="BR35" t="inlineStr"/>
      <c r="BS35" t="inlineStr"/>
      <c r="BT35" t="inlineStr"/>
      <c r="BU35" t="inlineStr"/>
      <c r="BV35" t="inlineStr"/>
      <c r="BW35" t="inlineStr"/>
      <c r="BX35" t="inlineStr"/>
      <c r="BY35" t="inlineStr"/>
      <c r="BZ35" t="inlineStr"/>
      <c r="CA35" t="inlineStr"/>
      <c r="CB35" t="inlineStr"/>
      <c r="CC35" t="inlineStr"/>
      <c r="CD35" t="inlineStr"/>
      <c r="CE35" t="inlineStr"/>
      <c r="CF35" t="inlineStr"/>
      <c r="CG35" t="inlineStr"/>
      <c r="CH35" t="inlineStr"/>
      <c r="CI35" t="inlineStr"/>
      <c r="CJ35" t="inlineStr"/>
      <c r="CK35" t="inlineStr"/>
      <c r="CL35" t="inlineStr"/>
      <c r="CM35" t="inlineStr"/>
    </row>
    <row r="36">
      <c r="B36" s="39" t="inlineStr"/>
      <c r="C36" s="40" t="inlineStr"/>
      <c r="D36" t="inlineStr"/>
      <c r="E36" t="inlineStr"/>
      <c r="F36" s="15" t="inlineStr">
        <is>
          <t>Beta</t>
        </is>
      </c>
      <c r="G36" s="43" t="n">
        <v>0.01</v>
      </c>
      <c r="H36" t="inlineStr"/>
      <c r="I36" t="inlineStr"/>
      <c r="J36" t="inlineStr"/>
      <c r="K36" t="inlineStr"/>
      <c r="L36" t="inlineStr"/>
      <c r="M36" t="inlineStr"/>
      <c r="N36" t="inlineStr"/>
      <c r="O36" t="inlineStr"/>
      <c r="P36" t="inlineStr"/>
      <c r="Q36" t="inlineStr"/>
      <c r="R36" t="inlineStr"/>
      <c r="S36" t="inlineStr"/>
      <c r="T36" t="inlineStr"/>
      <c r="U36" t="inlineStr"/>
      <c r="V36" t="inlineStr"/>
      <c r="W36" t="inlineStr"/>
      <c r="X36" t="inlineStr"/>
      <c r="Y36" t="inlineStr"/>
      <c r="Z36" t="inlineStr"/>
      <c r="AA36" t="inlineStr"/>
      <c r="AB36" t="inlineStr"/>
      <c r="AC36" t="inlineStr"/>
      <c r="AD36" t="inlineStr"/>
      <c r="AE36" t="inlineStr"/>
      <c r="AF36" t="inlineStr"/>
      <c r="AG36" t="inlineStr"/>
      <c r="AH36" t="inlineStr"/>
      <c r="AI36" t="inlineStr"/>
      <c r="AJ36" t="inlineStr"/>
      <c r="AK36" t="inlineStr"/>
      <c r="AL36" t="inlineStr"/>
      <c r="AM36" t="inlineStr"/>
      <c r="AN36" t="inlineStr"/>
      <c r="AO36" t="inlineStr"/>
      <c r="AP36" t="inlineStr"/>
      <c r="AQ36" t="inlineStr"/>
      <c r="AR36" t="inlineStr"/>
      <c r="AS36" t="inlineStr"/>
      <c r="AT36" t="inlineStr"/>
      <c r="AU36" t="inlineStr"/>
      <c r="AV36" t="inlineStr"/>
      <c r="AW36" t="inlineStr"/>
      <c r="AX36" t="inlineStr"/>
      <c r="AY36" t="inlineStr"/>
      <c r="AZ36" t="inlineStr"/>
      <c r="BA36" t="inlineStr"/>
      <c r="BB36" t="inlineStr"/>
      <c r="BC36" t="inlineStr"/>
      <c r="BD36" t="inlineStr"/>
      <c r="BE36" t="inlineStr"/>
      <c r="BF36" t="inlineStr"/>
      <c r="BG36" t="inlineStr"/>
      <c r="BH36" t="inlineStr"/>
      <c r="BI36" t="inlineStr"/>
      <c r="BJ36" t="inlineStr"/>
      <c r="BK36" t="inlineStr"/>
      <c r="BL36" t="inlineStr"/>
      <c r="BM36" t="inlineStr"/>
      <c r="BN36" t="inlineStr"/>
      <c r="BO36" t="inlineStr"/>
      <c r="BP36" t="inlineStr"/>
      <c r="BQ36" t="inlineStr"/>
      <c r="BR36" t="inlineStr"/>
      <c r="BS36" t="inlineStr"/>
      <c r="BT36" t="inlineStr"/>
      <c r="BU36" t="inlineStr"/>
      <c r="BV36" t="inlineStr"/>
      <c r="BW36" t="inlineStr"/>
      <c r="BX36" t="inlineStr"/>
      <c r="BY36" t="inlineStr"/>
      <c r="BZ36" t="inlineStr"/>
      <c r="CA36" t="inlineStr"/>
      <c r="CB36" t="inlineStr"/>
      <c r="CC36" t="inlineStr"/>
      <c r="CD36" t="inlineStr"/>
      <c r="CE36" t="inlineStr"/>
      <c r="CF36" t="inlineStr"/>
      <c r="CG36" t="inlineStr"/>
      <c r="CH36" t="inlineStr"/>
      <c r="CI36" t="inlineStr"/>
      <c r="CJ36" t="inlineStr"/>
      <c r="CK36" t="inlineStr"/>
      <c r="CL36" t="inlineStr"/>
      <c r="CM36" t="inlineStr"/>
    </row>
    <row r="37">
      <c r="B37" s="15" t="inlineStr">
        <is>
          <t>Present Value of Future Equity</t>
        </is>
      </c>
      <c r="C37" s="34">
        <f>$C$32+$C$34-$C$35</f>
        <v/>
      </c>
      <c r="D37" t="inlineStr"/>
      <c r="E37" t="inlineStr"/>
      <c r="F37" s="19" t="inlineStr">
        <is>
          <t>Risk Free Rate of Return</t>
        </is>
      </c>
      <c r="G37" s="41">
        <f>Model_Assumptions!$G$8</f>
        <v/>
      </c>
      <c r="H37" t="inlineStr"/>
      <c r="I37" t="inlineStr"/>
      <c r="J37" t="inlineStr"/>
      <c r="K37" t="inlineStr"/>
      <c r="L37" t="inlineStr"/>
      <c r="M37" t="inlineStr"/>
      <c r="N37" t="inlineStr"/>
      <c r="O37" t="inlineStr"/>
      <c r="P37" t="inlineStr"/>
      <c r="Q37" t="inlineStr"/>
      <c r="R37" t="inlineStr"/>
      <c r="S37" t="inlineStr"/>
      <c r="T37" t="inlineStr"/>
      <c r="U37" t="inlineStr"/>
      <c r="V37" t="inlineStr"/>
      <c r="W37" t="inlineStr"/>
      <c r="X37" t="inlineStr"/>
      <c r="Y37" t="inlineStr"/>
      <c r="Z37" t="inlineStr"/>
      <c r="AA37" t="inlineStr"/>
      <c r="AB37" t="inlineStr"/>
      <c r="AC37" t="inlineStr"/>
      <c r="AD37" t="inlineStr"/>
      <c r="AE37" t="inlineStr"/>
      <c r="AF37" t="inlineStr"/>
      <c r="AG37" t="inlineStr"/>
      <c r="AH37" t="inlineStr"/>
      <c r="AI37" t="inlineStr"/>
      <c r="AJ37" t="inlineStr"/>
      <c r="AK37" t="inlineStr"/>
      <c r="AL37" t="inlineStr"/>
      <c r="AM37" t="inlineStr"/>
      <c r="AN37" t="inlineStr"/>
      <c r="AO37" t="inlineStr"/>
      <c r="AP37" t="inlineStr"/>
      <c r="AQ37" t="inlineStr"/>
      <c r="AR37" t="inlineStr"/>
      <c r="AS37" t="inlineStr"/>
      <c r="AT37" t="inlineStr"/>
      <c r="AU37" t="inlineStr"/>
      <c r="AV37" t="inlineStr"/>
      <c r="AW37" t="inlineStr"/>
      <c r="AX37" t="inlineStr"/>
      <c r="AY37" t="inlineStr"/>
      <c r="AZ37" t="inlineStr"/>
      <c r="BA37" t="inlineStr"/>
      <c r="BB37" t="inlineStr"/>
      <c r="BC37" t="inlineStr"/>
      <c r="BD37" t="inlineStr"/>
      <c r="BE37" t="inlineStr"/>
      <c r="BF37" t="inlineStr"/>
      <c r="BG37" t="inlineStr"/>
      <c r="BH37" t="inlineStr"/>
      <c r="BI37" t="inlineStr"/>
      <c r="BJ37" t="inlineStr"/>
      <c r="BK37" t="inlineStr"/>
      <c r="BL37" t="inlineStr"/>
      <c r="BM37" t="inlineStr"/>
      <c r="BN37" t="inlineStr"/>
      <c r="BO37" t="inlineStr"/>
      <c r="BP37" t="inlineStr"/>
      <c r="BQ37" t="inlineStr"/>
      <c r="BR37" t="inlineStr"/>
      <c r="BS37" t="inlineStr"/>
      <c r="BT37" t="inlineStr"/>
      <c r="BU37" t="inlineStr"/>
      <c r="BV37" t="inlineStr"/>
      <c r="BW37" t="inlineStr"/>
      <c r="BX37" t="inlineStr"/>
      <c r="BY37" t="inlineStr"/>
      <c r="BZ37" t="inlineStr"/>
      <c r="CA37" t="inlineStr"/>
      <c r="CB37" t="inlineStr"/>
      <c r="CC37" t="inlineStr"/>
      <c r="CD37" t="inlineStr"/>
      <c r="CE37" t="inlineStr"/>
      <c r="CF37" t="inlineStr"/>
      <c r="CG37" t="inlineStr"/>
      <c r="CH37" t="inlineStr"/>
      <c r="CI37" t="inlineStr"/>
      <c r="CJ37" t="inlineStr"/>
      <c r="CK37" t="inlineStr"/>
      <c r="CL37" t="inlineStr"/>
      <c r="CM37" t="inlineStr"/>
    </row>
    <row r="38">
      <c r="B38" s="23" t="inlineStr">
        <is>
          <t>Weighted Average Shares Outstanding</t>
        </is>
      </c>
      <c r="C38" s="44" t="n">
        <v>15004697000</v>
      </c>
      <c r="D38" t="inlineStr"/>
      <c r="E38" t="inlineStr"/>
      <c r="F38" s="19" t="inlineStr">
        <is>
          <t>Expected Market Return</t>
        </is>
      </c>
      <c r="G38" s="41">
        <f>Model_Assumptions!$F$8</f>
        <v/>
      </c>
      <c r="H38" t="inlineStr"/>
      <c r="I38" t="inlineStr"/>
      <c r="J38" t="inlineStr"/>
      <c r="K38" t="inlineStr"/>
      <c r="L38" t="inlineStr"/>
      <c r="M38" t="inlineStr"/>
      <c r="N38" t="inlineStr"/>
      <c r="O38" t="inlineStr"/>
      <c r="P38" t="inlineStr"/>
      <c r="Q38" t="inlineStr"/>
      <c r="R38" t="inlineStr"/>
      <c r="S38" t="inlineStr"/>
      <c r="T38" t="inlineStr"/>
      <c r="U38" t="inlineStr"/>
      <c r="V38" t="inlineStr"/>
      <c r="W38" t="inlineStr"/>
      <c r="X38" t="inlineStr"/>
      <c r="Y38" t="inlineStr"/>
      <c r="Z38" t="inlineStr"/>
      <c r="AA38" t="inlineStr"/>
      <c r="AB38" t="inlineStr"/>
      <c r="AC38" t="inlineStr"/>
      <c r="AD38" t="inlineStr"/>
      <c r="AE38" t="inlineStr"/>
      <c r="AF38" t="inlineStr"/>
      <c r="AG38" t="inlineStr"/>
      <c r="AH38" t="inlineStr"/>
      <c r="AI38" t="inlineStr"/>
      <c r="AJ38" t="inlineStr"/>
      <c r="AK38" t="inlineStr"/>
      <c r="AL38" t="inlineStr"/>
      <c r="AM38" t="inlineStr"/>
      <c r="AN38" t="inlineStr"/>
      <c r="AO38" t="inlineStr"/>
      <c r="AP38" t="inlineStr"/>
      <c r="AQ38" t="inlineStr"/>
      <c r="AR38" t="inlineStr"/>
      <c r="AS38" t="inlineStr"/>
      <c r="AT38" t="inlineStr"/>
      <c r="AU38" t="inlineStr"/>
      <c r="AV38" t="inlineStr"/>
      <c r="AW38" t="inlineStr"/>
      <c r="AX38" t="inlineStr"/>
      <c r="AY38" t="inlineStr"/>
      <c r="AZ38" t="inlineStr"/>
      <c r="BA38" t="inlineStr"/>
      <c r="BB38" t="inlineStr"/>
      <c r="BC38" t="inlineStr"/>
      <c r="BD38" t="inlineStr"/>
      <c r="BE38" t="inlineStr"/>
      <c r="BF38" t="inlineStr"/>
      <c r="BG38" t="inlineStr"/>
      <c r="BH38" t="inlineStr"/>
      <c r="BI38" t="inlineStr"/>
      <c r="BJ38" t="inlineStr"/>
      <c r="BK38" t="inlineStr"/>
      <c r="BL38" t="inlineStr"/>
      <c r="BM38" t="inlineStr"/>
      <c r="BN38" t="inlineStr"/>
      <c r="BO38" t="inlineStr"/>
      <c r="BP38" t="inlineStr"/>
      <c r="BQ38" t="inlineStr"/>
      <c r="BR38" t="inlineStr"/>
      <c r="BS38" t="inlineStr"/>
      <c r="BT38" t="inlineStr"/>
      <c r="BU38" t="inlineStr"/>
      <c r="BV38" t="inlineStr"/>
      <c r="BW38" t="inlineStr"/>
      <c r="BX38" t="inlineStr"/>
      <c r="BY38" t="inlineStr"/>
      <c r="BZ38" t="inlineStr"/>
      <c r="CA38" t="inlineStr"/>
      <c r="CB38" t="inlineStr"/>
      <c r="CC38" t="inlineStr"/>
      <c r="CD38" t="inlineStr"/>
      <c r="CE38" t="inlineStr"/>
      <c r="CF38" t="inlineStr"/>
      <c r="CG38" t="inlineStr"/>
      <c r="CH38" t="inlineStr"/>
      <c r="CI38" t="inlineStr"/>
      <c r="CJ38" t="inlineStr"/>
      <c r="CK38" t="inlineStr"/>
      <c r="CL38" t="inlineStr"/>
      <c r="CM38" t="inlineStr"/>
    </row>
    <row r="39">
      <c r="B39" s="39" t="inlineStr"/>
      <c r="C39" s="40" t="inlineStr"/>
      <c r="D39" t="inlineStr"/>
      <c r="E39" t="inlineStr"/>
      <c r="F39" s="19" t="inlineStr">
        <is>
          <t>Market Risk Premium</t>
        </is>
      </c>
      <c r="G39" s="41">
        <f>$G$38-$G$37</f>
        <v/>
      </c>
      <c r="H39" t="inlineStr"/>
      <c r="I39" t="inlineStr"/>
      <c r="J39" t="inlineStr"/>
      <c r="K39" t="inlineStr"/>
      <c r="L39" t="inlineStr"/>
      <c r="M39" t="inlineStr"/>
      <c r="N39" t="inlineStr"/>
      <c r="O39" t="inlineStr"/>
      <c r="P39" t="inlineStr"/>
      <c r="Q39" t="inlineStr"/>
      <c r="R39" t="inlineStr"/>
      <c r="S39" t="inlineStr"/>
      <c r="T39" t="inlineStr"/>
      <c r="U39" t="inlineStr"/>
      <c r="V39" t="inlineStr"/>
      <c r="W39" t="inlineStr"/>
      <c r="X39" t="inlineStr"/>
      <c r="Y39" t="inlineStr"/>
      <c r="Z39" t="inlineStr"/>
      <c r="AA39" t="inlineStr"/>
      <c r="AB39" t="inlineStr"/>
      <c r="AC39" t="inlineStr"/>
      <c r="AD39" t="inlineStr"/>
      <c r="AE39" t="inlineStr"/>
      <c r="AF39" t="inlineStr"/>
      <c r="AG39" t="inlineStr"/>
      <c r="AH39" t="inlineStr"/>
      <c r="AI39" t="inlineStr"/>
      <c r="AJ39" t="inlineStr"/>
      <c r="AK39" t="inlineStr"/>
      <c r="AL39" t="inlineStr"/>
      <c r="AM39" t="inlineStr"/>
      <c r="AN39" t="inlineStr"/>
      <c r="AO39" t="inlineStr"/>
      <c r="AP39" t="inlineStr"/>
      <c r="AQ39" t="inlineStr"/>
      <c r="AR39" t="inlineStr"/>
      <c r="AS39" t="inlineStr"/>
      <c r="AT39" t="inlineStr"/>
      <c r="AU39" t="inlineStr"/>
      <c r="AV39" t="inlineStr"/>
      <c r="AW39" t="inlineStr"/>
      <c r="AX39" t="inlineStr"/>
      <c r="AY39" t="inlineStr"/>
      <c r="AZ39" t="inlineStr"/>
      <c r="BA39" t="inlineStr"/>
      <c r="BB39" t="inlineStr"/>
      <c r="BC39" t="inlineStr"/>
      <c r="BD39" t="inlineStr"/>
      <c r="BE39" t="inlineStr"/>
      <c r="BF39" t="inlineStr"/>
      <c r="BG39" t="inlineStr"/>
      <c r="BH39" t="inlineStr"/>
      <c r="BI39" t="inlineStr"/>
      <c r="BJ39" t="inlineStr"/>
      <c r="BK39" t="inlineStr"/>
      <c r="BL39" t="inlineStr"/>
      <c r="BM39" t="inlineStr"/>
      <c r="BN39" t="inlineStr"/>
      <c r="BO39" t="inlineStr"/>
      <c r="BP39" t="inlineStr"/>
      <c r="BQ39" t="inlineStr"/>
      <c r="BR39" t="inlineStr"/>
      <c r="BS39" t="inlineStr"/>
      <c r="BT39" t="inlineStr"/>
      <c r="BU39" t="inlineStr"/>
      <c r="BV39" t="inlineStr"/>
      <c r="BW39" t="inlineStr"/>
      <c r="BX39" t="inlineStr"/>
      <c r="BY39" t="inlineStr"/>
      <c r="BZ39" t="inlineStr"/>
      <c r="CA39" t="inlineStr"/>
      <c r="CB39" t="inlineStr"/>
      <c r="CC39" t="inlineStr"/>
      <c r="CD39" t="inlineStr"/>
      <c r="CE39" t="inlineStr"/>
      <c r="CF39" t="inlineStr"/>
      <c r="CG39" t="inlineStr"/>
      <c r="CH39" t="inlineStr"/>
      <c r="CI39" t="inlineStr"/>
      <c r="CJ39" t="inlineStr"/>
      <c r="CK39" t="inlineStr"/>
      <c r="CL39" t="inlineStr"/>
      <c r="CM39" t="inlineStr"/>
    </row>
    <row r="40">
      <c r="B40" s="45" t="inlineStr">
        <is>
          <t>Expected Price Per Share</t>
        </is>
      </c>
      <c r="C40" s="46">
        <f>$C$37/$C$38</f>
        <v/>
      </c>
      <c r="D40" t="inlineStr"/>
      <c r="E40" t="inlineStr"/>
      <c r="F40" s="19" t="inlineStr">
        <is>
          <t>Expected Return of Equity</t>
        </is>
      </c>
      <c r="G40" s="41">
        <f>$G$38+($G$39*$G$36)</f>
        <v/>
      </c>
      <c r="H40" t="inlineStr"/>
      <c r="I40" t="inlineStr"/>
      <c r="J40" t="inlineStr"/>
      <c r="K40" t="inlineStr"/>
      <c r="L40" t="inlineStr"/>
      <c r="M40" t="inlineStr"/>
      <c r="N40" t="inlineStr"/>
      <c r="O40" t="inlineStr"/>
      <c r="P40" t="inlineStr"/>
      <c r="Q40" t="inlineStr"/>
      <c r="R40" t="inlineStr"/>
      <c r="S40" t="inlineStr"/>
      <c r="T40" t="inlineStr"/>
      <c r="U40" t="inlineStr"/>
      <c r="V40" t="inlineStr"/>
      <c r="W40" t="inlineStr"/>
      <c r="X40" t="inlineStr"/>
      <c r="Y40" t="inlineStr"/>
      <c r="Z40" t="inlineStr"/>
      <c r="AA40" t="inlineStr"/>
      <c r="AB40" t="inlineStr"/>
      <c r="AC40" t="inlineStr"/>
      <c r="AD40" t="inlineStr"/>
      <c r="AE40" t="inlineStr"/>
      <c r="AF40" t="inlineStr"/>
      <c r="AG40" t="inlineStr"/>
      <c r="AH40" t="inlineStr"/>
      <c r="AI40" t="inlineStr"/>
      <c r="AJ40" t="inlineStr"/>
      <c r="AK40" t="inlineStr"/>
      <c r="AL40" t="inlineStr"/>
      <c r="AM40" t="inlineStr"/>
      <c r="AN40" t="inlineStr"/>
      <c r="AO40" t="inlineStr"/>
      <c r="AP40" t="inlineStr"/>
      <c r="AQ40" t="inlineStr"/>
      <c r="AR40" t="inlineStr"/>
      <c r="AS40" t="inlineStr"/>
      <c r="AT40" t="inlineStr"/>
      <c r="AU40" t="inlineStr"/>
      <c r="AV40" t="inlineStr"/>
      <c r="AW40" t="inlineStr"/>
      <c r="AX40" t="inlineStr"/>
      <c r="AY40" t="inlineStr"/>
      <c r="AZ40" t="inlineStr"/>
      <c r="BA40" t="inlineStr"/>
      <c r="BB40" t="inlineStr"/>
      <c r="BC40" t="inlineStr"/>
      <c r="BD40" t="inlineStr"/>
      <c r="BE40" t="inlineStr"/>
      <c r="BF40" t="inlineStr"/>
      <c r="BG40" t="inlineStr"/>
      <c r="BH40" t="inlineStr"/>
      <c r="BI40" t="inlineStr"/>
      <c r="BJ40" t="inlineStr"/>
      <c r="BK40" t="inlineStr"/>
      <c r="BL40" t="inlineStr"/>
      <c r="BM40" t="inlineStr"/>
      <c r="BN40" t="inlineStr"/>
      <c r="BO40" t="inlineStr"/>
      <c r="BP40" t="inlineStr"/>
      <c r="BQ40" t="inlineStr"/>
      <c r="BR40" t="inlineStr"/>
      <c r="BS40" t="inlineStr"/>
      <c r="BT40" t="inlineStr"/>
      <c r="BU40" t="inlineStr"/>
      <c r="BV40" t="inlineStr"/>
      <c r="BW40" t="inlineStr"/>
      <c r="BX40" t="inlineStr"/>
      <c r="BY40" t="inlineStr"/>
      <c r="BZ40" t="inlineStr"/>
      <c r="CA40" t="inlineStr"/>
      <c r="CB40" t="inlineStr"/>
      <c r="CC40" t="inlineStr"/>
      <c r="CD40" t="inlineStr"/>
      <c r="CE40" t="inlineStr"/>
      <c r="CF40" t="inlineStr"/>
      <c r="CG40" t="inlineStr"/>
      <c r="CH40" t="inlineStr"/>
      <c r="CI40" t="inlineStr"/>
      <c r="CJ40" t="inlineStr"/>
      <c r="CK40" t="inlineStr"/>
      <c r="CL40" t="inlineStr"/>
      <c r="CM40" t="inlineStr"/>
    </row>
    <row r="41">
      <c r="B41" s="39" t="inlineStr"/>
      <c r="C41" s="40" t="inlineStr"/>
      <c r="D41" t="inlineStr"/>
      <c r="E41" t="inlineStr"/>
      <c r="F41" s="23" t="inlineStr">
        <is>
          <t>Expected Cost of Debt</t>
        </is>
      </c>
      <c r="G41" s="42" t="n">
        <v>0.01760069863722615</v>
      </c>
      <c r="H41" t="inlineStr"/>
      <c r="I41" t="inlineStr"/>
      <c r="J41" t="inlineStr"/>
      <c r="K41" t="inlineStr"/>
      <c r="L41" t="inlineStr"/>
      <c r="M41" t="inlineStr"/>
      <c r="N41" t="inlineStr"/>
      <c r="O41" t="inlineStr"/>
      <c r="P41" t="inlineStr"/>
      <c r="Q41" t="inlineStr"/>
      <c r="R41" t="inlineStr"/>
      <c r="S41" t="inlineStr"/>
      <c r="T41" t="inlineStr"/>
      <c r="U41" t="inlineStr"/>
      <c r="V41" t="inlineStr"/>
      <c r="W41" t="inlineStr"/>
      <c r="X41" t="inlineStr"/>
      <c r="Y41" t="inlineStr"/>
      <c r="Z41" t="inlineStr"/>
      <c r="AA41" t="inlineStr"/>
      <c r="AB41" t="inlineStr"/>
      <c r="AC41" t="inlineStr"/>
      <c r="AD41" t="inlineStr"/>
      <c r="AE41" t="inlineStr"/>
      <c r="AF41" t="inlineStr"/>
      <c r="AG41" t="inlineStr"/>
      <c r="AH41" t="inlineStr"/>
      <c r="AI41" t="inlineStr"/>
      <c r="AJ41" t="inlineStr"/>
      <c r="AK41" t="inlineStr"/>
      <c r="AL41" t="inlineStr"/>
      <c r="AM41" t="inlineStr"/>
      <c r="AN41" t="inlineStr"/>
      <c r="AO41" t="inlineStr"/>
      <c r="AP41" t="inlineStr"/>
      <c r="AQ41" t="inlineStr"/>
      <c r="AR41" t="inlineStr"/>
      <c r="AS41" t="inlineStr"/>
      <c r="AT41" t="inlineStr"/>
      <c r="AU41" t="inlineStr"/>
      <c r="AV41" t="inlineStr"/>
      <c r="AW41" t="inlineStr"/>
      <c r="AX41" t="inlineStr"/>
      <c r="AY41" t="inlineStr"/>
      <c r="AZ41" t="inlineStr"/>
      <c r="BA41" t="inlineStr"/>
      <c r="BB41" t="inlineStr"/>
      <c r="BC41" t="inlineStr"/>
      <c r="BD41" t="inlineStr"/>
      <c r="BE41" t="inlineStr"/>
      <c r="BF41" t="inlineStr"/>
      <c r="BG41" t="inlineStr"/>
      <c r="BH41" t="inlineStr"/>
      <c r="BI41" t="inlineStr"/>
      <c r="BJ41" t="inlineStr"/>
      <c r="BK41" t="inlineStr"/>
      <c r="BL41" t="inlineStr"/>
      <c r="BM41" t="inlineStr"/>
      <c r="BN41" t="inlineStr"/>
      <c r="BO41" t="inlineStr"/>
      <c r="BP41" t="inlineStr"/>
      <c r="BQ41" t="inlineStr"/>
      <c r="BR41" t="inlineStr"/>
      <c r="BS41" t="inlineStr"/>
      <c r="BT41" t="inlineStr"/>
      <c r="BU41" t="inlineStr"/>
      <c r="BV41" t="inlineStr"/>
      <c r="BW41" t="inlineStr"/>
      <c r="BX41" t="inlineStr"/>
      <c r="BY41" t="inlineStr"/>
      <c r="BZ41" t="inlineStr"/>
      <c r="CA41" t="inlineStr"/>
      <c r="CB41" t="inlineStr"/>
      <c r="CC41" t="inlineStr"/>
      <c r="CD41" t="inlineStr"/>
      <c r="CE41" t="inlineStr"/>
      <c r="CF41" t="inlineStr"/>
      <c r="CG41" t="inlineStr"/>
      <c r="CH41" t="inlineStr"/>
      <c r="CI41" t="inlineStr"/>
      <c r="CJ41" t="inlineStr"/>
      <c r="CK41" t="inlineStr"/>
      <c r="CL41" t="inlineStr"/>
      <c r="CM41" t="inlineStr"/>
    </row>
    <row r="42">
      <c r="B42" s="45" t="inlineStr">
        <is>
          <t>Under / Over</t>
        </is>
      </c>
      <c r="C42" s="47">
        <f>IF((C40-G30)/G30 &gt; 0.1, "UNDER VALUED",  IF((C40-G30)/G30 &lt; -0.1, "OVER VALUED", "FAIRLY VALUED"))</f>
        <v/>
      </c>
      <c r="D42" t="inlineStr"/>
      <c r="E42" t="inlineStr"/>
      <c r="F42" s="39" t="inlineStr"/>
      <c r="G42" s="40" t="inlineStr"/>
      <c r="H42" t="inlineStr"/>
      <c r="I42" t="inlineStr"/>
      <c r="J42" t="inlineStr"/>
      <c r="K42" t="inlineStr"/>
      <c r="L42" t="inlineStr"/>
      <c r="M42" t="inlineStr"/>
      <c r="N42" t="inlineStr"/>
      <c r="O42" t="inlineStr"/>
      <c r="P42" t="inlineStr"/>
      <c r="Q42" t="inlineStr"/>
      <c r="R42" t="inlineStr"/>
      <c r="S42" t="inlineStr"/>
      <c r="T42" t="inlineStr"/>
      <c r="U42" t="inlineStr"/>
      <c r="V42" t="inlineStr"/>
      <c r="W42" t="inlineStr"/>
      <c r="X42" t="inlineStr"/>
      <c r="Y42" t="inlineStr"/>
      <c r="Z42" t="inlineStr"/>
      <c r="AA42" t="inlineStr"/>
      <c r="AB42" t="inlineStr"/>
      <c r="AC42" t="inlineStr"/>
      <c r="AD42" t="inlineStr"/>
      <c r="AE42" t="inlineStr"/>
      <c r="AF42" t="inlineStr"/>
      <c r="AG42" t="inlineStr"/>
      <c r="AH42" t="inlineStr"/>
      <c r="AI42" t="inlineStr"/>
      <c r="AJ42" t="inlineStr"/>
      <c r="AK42" t="inlineStr"/>
      <c r="AL42" t="inlineStr"/>
      <c r="AM42" t="inlineStr"/>
      <c r="AN42" t="inlineStr"/>
      <c r="AO42" t="inlineStr"/>
      <c r="AP42" t="inlineStr"/>
      <c r="AQ42" t="inlineStr"/>
      <c r="AR42" t="inlineStr"/>
      <c r="AS42" t="inlineStr"/>
      <c r="AT42" t="inlineStr"/>
      <c r="AU42" t="inlineStr"/>
      <c r="AV42" t="inlineStr"/>
      <c r="AW42" t="inlineStr"/>
      <c r="AX42" t="inlineStr"/>
      <c r="AY42" t="inlineStr"/>
      <c r="AZ42" t="inlineStr"/>
      <c r="BA42" t="inlineStr"/>
      <c r="BB42" t="inlineStr"/>
      <c r="BC42" t="inlineStr"/>
      <c r="BD42" t="inlineStr"/>
      <c r="BE42" t="inlineStr"/>
      <c r="BF42" t="inlineStr"/>
      <c r="BG42" t="inlineStr"/>
      <c r="BH42" t="inlineStr"/>
      <c r="BI42" t="inlineStr"/>
      <c r="BJ42" t="inlineStr"/>
      <c r="BK42" t="inlineStr"/>
      <c r="BL42" t="inlineStr"/>
      <c r="BM42" t="inlineStr"/>
      <c r="BN42" t="inlineStr"/>
      <c r="BO42" t="inlineStr"/>
      <c r="BP42" t="inlineStr"/>
      <c r="BQ42" t="inlineStr"/>
      <c r="BR42" t="inlineStr"/>
      <c r="BS42" t="inlineStr"/>
      <c r="BT42" t="inlineStr"/>
      <c r="BU42" t="inlineStr"/>
      <c r="BV42" t="inlineStr"/>
      <c r="BW42" t="inlineStr"/>
      <c r="BX42" t="inlineStr"/>
      <c r="BY42" t="inlineStr"/>
      <c r="BZ42" t="inlineStr"/>
      <c r="CA42" t="inlineStr"/>
      <c r="CB42" t="inlineStr"/>
      <c r="CC42" t="inlineStr"/>
      <c r="CD42" t="inlineStr"/>
      <c r="CE42" t="inlineStr"/>
      <c r="CF42" t="inlineStr"/>
      <c r="CG42" t="inlineStr"/>
      <c r="CH42" t="inlineStr"/>
      <c r="CI42" t="inlineStr"/>
      <c r="CJ42" t="inlineStr"/>
      <c r="CK42" t="inlineStr"/>
      <c r="CL42" t="inlineStr"/>
      <c r="CM42" t="inlineStr"/>
    </row>
    <row r="43">
      <c r="B43" t="inlineStr"/>
      <c r="C43" t="inlineStr"/>
      <c r="D43" t="inlineStr"/>
      <c r="E43" t="inlineStr"/>
      <c r="F43" s="45" t="inlineStr">
        <is>
          <t>WACC</t>
        </is>
      </c>
      <c r="G43" s="48">
        <f>($G$40*$G$33)+($G$41 * $G$34 * (1-$C$9))</f>
        <v/>
      </c>
      <c r="H43" t="inlineStr"/>
      <c r="I43" t="inlineStr"/>
      <c r="J43" t="inlineStr"/>
      <c r="K43" t="inlineStr"/>
      <c r="L43" t="inlineStr"/>
      <c r="M43" t="inlineStr"/>
      <c r="N43" t="inlineStr"/>
      <c r="O43" t="inlineStr"/>
      <c r="P43" t="inlineStr"/>
      <c r="Q43" t="inlineStr"/>
      <c r="R43" t="inlineStr"/>
      <c r="S43" t="inlineStr"/>
      <c r="T43" t="inlineStr"/>
      <c r="U43" t="inlineStr"/>
      <c r="V43" t="inlineStr"/>
      <c r="W43" t="inlineStr"/>
      <c r="X43" t="inlineStr"/>
      <c r="Y43" t="inlineStr"/>
      <c r="Z43" t="inlineStr"/>
      <c r="AA43" t="inlineStr"/>
      <c r="AB43" t="inlineStr"/>
      <c r="AC43" t="inlineStr"/>
      <c r="AD43" t="inlineStr"/>
      <c r="AE43" t="inlineStr"/>
      <c r="AF43" t="inlineStr"/>
      <c r="AG43" t="inlineStr"/>
      <c r="AH43" t="inlineStr"/>
      <c r="AI43" t="inlineStr"/>
      <c r="AJ43" t="inlineStr"/>
      <c r="AK43" t="inlineStr"/>
      <c r="AL43" t="inlineStr"/>
      <c r="AM43" t="inlineStr"/>
      <c r="AN43" t="inlineStr"/>
      <c r="AO43" t="inlineStr"/>
      <c r="AP43" t="inlineStr"/>
      <c r="AQ43" t="inlineStr"/>
      <c r="AR43" t="inlineStr"/>
      <c r="AS43" t="inlineStr"/>
      <c r="AT43" t="inlineStr"/>
      <c r="AU43" t="inlineStr"/>
      <c r="AV43" t="inlineStr"/>
      <c r="AW43" t="inlineStr"/>
      <c r="AX43" t="inlineStr"/>
      <c r="AY43" t="inlineStr"/>
      <c r="AZ43" t="inlineStr"/>
      <c r="BA43" t="inlineStr"/>
      <c r="BB43" t="inlineStr"/>
      <c r="BC43" t="inlineStr"/>
      <c r="BD43" t="inlineStr"/>
      <c r="BE43" t="inlineStr"/>
      <c r="BF43" t="inlineStr"/>
      <c r="BG43" t="inlineStr"/>
      <c r="BH43" t="inlineStr"/>
      <c r="BI43" t="inlineStr"/>
      <c r="BJ43" t="inlineStr"/>
      <c r="BK43" t="inlineStr"/>
      <c r="BL43" t="inlineStr"/>
      <c r="BM43" t="inlineStr"/>
      <c r="BN43" t="inlineStr"/>
      <c r="BO43" t="inlineStr"/>
      <c r="BP43" t="inlineStr"/>
      <c r="BQ43" t="inlineStr"/>
      <c r="BR43" t="inlineStr"/>
      <c r="BS43" t="inlineStr"/>
      <c r="BT43" t="inlineStr"/>
      <c r="BU43" t="inlineStr"/>
      <c r="BV43" t="inlineStr"/>
      <c r="BW43" t="inlineStr"/>
      <c r="BX43" t="inlineStr"/>
      <c r="BY43" t="inlineStr"/>
      <c r="BZ43" t="inlineStr"/>
      <c r="CA43" t="inlineStr"/>
      <c r="CB43" t="inlineStr"/>
      <c r="CC43" t="inlineStr"/>
      <c r="CD43" t="inlineStr"/>
      <c r="CE43" t="inlineStr"/>
      <c r="CF43" t="inlineStr"/>
      <c r="CG43" t="inlineStr"/>
      <c r="CH43" t="inlineStr"/>
      <c r="CI43" t="inlineStr"/>
      <c r="CJ43" t="inlineStr"/>
      <c r="CK43" t="inlineStr"/>
      <c r="CL43" t="inlineStr"/>
      <c r="CM43" t="inlineStr"/>
    </row>
  </sheetData>
  <mergeCells count="1">
    <mergeCell ref="B3:C4"/>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B3:CM43"/>
  <sheetViews>
    <sheetView workbookViewId="0">
      <selection activeCell="A1" sqref="A1"/>
    </sheetView>
  </sheetViews>
  <sheetFormatPr baseColWidth="8" defaultRowHeight="15" outlineLevelCol="0"/>
  <cols>
    <col width="31" customWidth="1" min="2" max="2"/>
    <col width="21" customWidth="1" min="3" max="3"/>
    <col width="21" customWidth="1" min="4" max="4"/>
    <col width="21" customWidth="1" min="5" max="5"/>
    <col width="21" customWidth="1" min="6" max="6"/>
    <col width="21" customWidth="1" min="7" max="7"/>
    <col width="21" customWidth="1" min="8" max="8"/>
    <col width="21" customWidth="1" min="9" max="9"/>
    <col width="21" customWidth="1" min="10" max="10"/>
    <col width="21" customWidth="1" min="11" max="11"/>
    <col width="21" customWidth="1" min="12" max="12"/>
    <col width="21" customWidth="1" min="13" max="13"/>
    <col width="21" customWidth="1" min="14" max="14"/>
    <col width="21" customWidth="1" min="15" max="15"/>
    <col width="21" customWidth="1" min="16" max="16"/>
    <col width="21" customWidth="1" min="17" max="17"/>
    <col width="21" customWidth="1" min="18" max="18"/>
    <col width="21" customWidth="1" min="19" max="19"/>
    <col width="21" customWidth="1" min="20" max="20"/>
    <col width="21" customWidth="1" min="21" max="21"/>
    <col width="21" customWidth="1" min="22" max="22"/>
    <col width="21" customWidth="1" min="23" max="23"/>
    <col width="21" customWidth="1" min="24" max="24"/>
    <col width="21" customWidth="1" min="25" max="25"/>
    <col width="21" customWidth="1" min="26" max="26"/>
    <col width="21" customWidth="1" min="27" max="27"/>
    <col width="21" customWidth="1" min="28" max="28"/>
    <col width="21" customWidth="1" min="29" max="29"/>
    <col width="21" customWidth="1" min="30" max="30"/>
    <col width="21" customWidth="1" min="31" max="31"/>
    <col width="21" customWidth="1" min="32" max="32"/>
    <col width="21" customWidth="1" min="33" max="33"/>
    <col width="21" customWidth="1" min="34" max="34"/>
    <col width="21" customWidth="1" min="35" max="35"/>
    <col width="21" customWidth="1" min="36" max="36"/>
    <col width="21" customWidth="1" min="37" max="37"/>
    <col width="21" customWidth="1" min="38" max="38"/>
    <col width="21" customWidth="1" min="39" max="39"/>
    <col width="21" customWidth="1" min="40" max="40"/>
    <col width="21" customWidth="1" min="41" max="41"/>
    <col width="21" customWidth="1" min="42" max="42"/>
    <col width="21" customWidth="1" min="43" max="43"/>
    <col width="21" customWidth="1" min="44" max="44"/>
    <col width="21" customWidth="1" min="45" max="45"/>
    <col width="21" customWidth="1" min="46" max="46"/>
    <col width="21" customWidth="1" min="47" max="47"/>
    <col width="21" customWidth="1" min="48" max="48"/>
    <col width="21" customWidth="1" min="49" max="49"/>
    <col width="21" customWidth="1" min="50" max="50"/>
    <col width="21" customWidth="1" min="51" max="51"/>
    <col width="21" customWidth="1" min="52" max="52"/>
    <col width="21" customWidth="1" min="53" max="53"/>
    <col width="21" customWidth="1" min="54" max="54"/>
    <col width="21" customWidth="1" min="55" max="55"/>
    <col width="21" customWidth="1" min="56" max="56"/>
    <col width="21" customWidth="1" min="57" max="57"/>
    <col width="21" customWidth="1" min="58" max="58"/>
    <col width="21" customWidth="1" min="59" max="59"/>
    <col width="21" customWidth="1" min="60" max="60"/>
    <col width="21" customWidth="1" min="61" max="61"/>
    <col width="21" customWidth="1" min="62" max="62"/>
    <col width="21" customWidth="1" min="63" max="63"/>
    <col width="21" customWidth="1" min="64" max="64"/>
    <col width="21" customWidth="1" min="65" max="65"/>
    <col width="21" customWidth="1" min="66" max="66"/>
    <col width="21" customWidth="1" min="67" max="67"/>
    <col width="21" customWidth="1" min="68" max="68"/>
    <col width="21" customWidth="1" min="69" max="69"/>
    <col width="21" customWidth="1" min="70" max="70"/>
    <col width="21" customWidth="1" min="71" max="71"/>
    <col width="21" customWidth="1" min="72" max="72"/>
    <col width="21" customWidth="1" min="73" max="73"/>
    <col width="21" customWidth="1" min="74" max="74"/>
    <col width="21" customWidth="1" min="75" max="75"/>
    <col width="21" customWidth="1" min="76" max="76"/>
    <col width="21" customWidth="1" min="77" max="77"/>
    <col width="21" customWidth="1" min="78" max="78"/>
    <col width="21" customWidth="1" min="79" max="79"/>
    <col width="21" customWidth="1" min="80" max="80"/>
    <col width="21" customWidth="1" min="81" max="81"/>
    <col width="21" customWidth="1" min="82" max="82"/>
    <col width="21" customWidth="1" min="83" max="83"/>
    <col width="21" customWidth="1" min="84" max="84"/>
    <col width="21" customWidth="1" min="85" max="85"/>
    <col width="21" customWidth="1" min="86" max="86"/>
    <col width="21" customWidth="1" min="87" max="87"/>
    <col width="21" customWidth="1" min="88" max="88"/>
    <col width="21" customWidth="1" min="89" max="89"/>
    <col width="21" customWidth="1" min="90" max="90"/>
  </cols>
  <sheetData>
    <row r="3">
      <c r="B3" s="1" t="inlineStr">
        <is>
          <t>Recent Evaluation</t>
        </is>
      </c>
      <c r="C3" s="2" t="n"/>
      <c r="D3" t="inlineStr"/>
      <c r="E3" t="inlineStr"/>
      <c r="F3" t="inlineStr"/>
      <c r="G3" t="inlineStr"/>
      <c r="H3" t="inlineStr"/>
      <c r="I3" t="inlineStr"/>
      <c r="J3" t="inlineStr"/>
      <c r="K3" t="inlineStr"/>
      <c r="L3" t="inlineStr"/>
      <c r="M3" t="inlineStr"/>
      <c r="N3" t="inlineStr"/>
      <c r="O3" t="inlineStr"/>
      <c r="P3" t="inlineStr"/>
      <c r="Q3" t="inlineStr"/>
      <c r="R3" t="inlineStr"/>
      <c r="S3" t="inlineStr"/>
      <c r="T3" t="inlineStr"/>
      <c r="U3" t="inlineStr"/>
      <c r="V3" t="inlineStr"/>
      <c r="W3" t="inlineStr"/>
      <c r="X3" t="inlineStr"/>
      <c r="Y3" t="inlineStr"/>
      <c r="Z3" t="inlineStr"/>
      <c r="AA3" t="inlineStr"/>
      <c r="AB3" t="inlineStr"/>
      <c r="AC3" t="inlineStr"/>
      <c r="AD3" t="inlineStr"/>
      <c r="AE3" t="inlineStr"/>
      <c r="AF3" t="inlineStr"/>
      <c r="AG3" t="inlineStr"/>
      <c r="AH3" t="inlineStr"/>
      <c r="AI3" t="inlineStr"/>
      <c r="AJ3" t="inlineStr"/>
      <c r="AK3" t="inlineStr"/>
      <c r="AL3" t="inlineStr"/>
      <c r="AM3" t="inlineStr"/>
      <c r="AN3" t="inlineStr"/>
      <c r="AO3" t="inlineStr"/>
      <c r="AP3" t="inlineStr"/>
      <c r="AQ3" t="inlineStr"/>
      <c r="AR3" t="inlineStr"/>
      <c r="AS3" t="inlineStr"/>
      <c r="AT3" t="inlineStr"/>
      <c r="AU3" t="inlineStr"/>
      <c r="AV3" t="inlineStr"/>
      <c r="AW3" t="inlineStr"/>
      <c r="AX3" t="inlineStr"/>
      <c r="AY3" t="inlineStr"/>
      <c r="AZ3" t="inlineStr"/>
      <c r="BA3" t="inlineStr"/>
      <c r="BB3" t="inlineStr"/>
      <c r="BC3" t="inlineStr"/>
      <c r="BD3" t="inlineStr"/>
      <c r="BE3" t="inlineStr"/>
      <c r="BF3" t="inlineStr"/>
      <c r="BG3" t="inlineStr"/>
      <c r="BH3" t="inlineStr"/>
      <c r="BI3" t="inlineStr"/>
      <c r="BJ3" t="inlineStr"/>
      <c r="BK3" t="inlineStr"/>
      <c r="BL3" t="inlineStr"/>
      <c r="BM3" t="inlineStr"/>
      <c r="BN3" t="inlineStr"/>
      <c r="BO3" t="inlineStr"/>
      <c r="BP3" t="inlineStr"/>
      <c r="BQ3" t="inlineStr"/>
      <c r="BR3" t="inlineStr"/>
      <c r="BS3" t="inlineStr"/>
      <c r="BT3" t="inlineStr"/>
      <c r="BU3" t="inlineStr"/>
      <c r="BV3" t="inlineStr"/>
      <c r="BW3" t="inlineStr"/>
      <c r="BX3" t="inlineStr"/>
      <c r="BY3" t="inlineStr"/>
      <c r="BZ3" t="inlineStr"/>
      <c r="CA3" t="inlineStr"/>
      <c r="CB3" t="inlineStr"/>
      <c r="CC3" t="inlineStr"/>
      <c r="CD3" t="inlineStr"/>
      <c r="CE3" t="inlineStr"/>
      <c r="CF3" t="inlineStr"/>
      <c r="CG3" t="inlineStr"/>
      <c r="CH3" t="inlineStr"/>
      <c r="CI3" t="inlineStr"/>
      <c r="CJ3" t="inlineStr"/>
      <c r="CK3" t="inlineStr"/>
      <c r="CL3" t="inlineStr"/>
      <c r="CM3" t="inlineStr"/>
    </row>
    <row r="4">
      <c r="B4" s="3" t="n"/>
      <c r="C4" s="4" t="n"/>
      <c r="D4" t="inlineStr"/>
      <c r="E4" t="inlineStr"/>
      <c r="F4" t="inlineStr"/>
      <c r="G4" t="inlineStr"/>
      <c r="H4" t="inlineStr"/>
      <c r="I4" t="inlineStr"/>
      <c r="J4" t="inlineStr"/>
      <c r="K4" t="inlineStr"/>
      <c r="L4" t="inlineStr"/>
      <c r="M4" t="inlineStr"/>
      <c r="N4" t="inlineStr"/>
      <c r="O4" t="inlineStr"/>
      <c r="P4" t="inlineStr"/>
      <c r="Q4" t="inlineStr"/>
      <c r="R4" t="inlineStr"/>
      <c r="S4" t="inlineStr"/>
      <c r="T4" t="inlineStr"/>
      <c r="U4" t="inlineStr"/>
      <c r="V4" t="inlineStr"/>
      <c r="W4" t="inlineStr"/>
      <c r="X4" t="inlineStr"/>
      <c r="Y4" t="inlineStr"/>
      <c r="Z4" t="inlineStr"/>
      <c r="AA4" t="inlineStr"/>
      <c r="AB4" t="inlineStr"/>
      <c r="AC4" t="inlineStr"/>
      <c r="AD4" t="inlineStr"/>
      <c r="AE4" t="inlineStr"/>
      <c r="AF4" t="inlineStr"/>
      <c r="AG4" t="inlineStr"/>
      <c r="AH4" t="inlineStr"/>
      <c r="AI4" t="inlineStr"/>
      <c r="AJ4" t="inlineStr"/>
      <c r="AK4" t="inlineStr"/>
      <c r="AL4" t="inlineStr"/>
      <c r="AM4" t="inlineStr"/>
      <c r="AN4" t="inlineStr"/>
      <c r="AO4" t="inlineStr"/>
      <c r="AP4" t="inlineStr"/>
      <c r="AQ4" t="inlineStr"/>
      <c r="AR4" t="inlineStr"/>
      <c r="AS4" t="inlineStr"/>
      <c r="AT4" t="inlineStr"/>
      <c r="AU4" t="inlineStr"/>
      <c r="AV4" t="inlineStr"/>
      <c r="AW4" t="inlineStr"/>
      <c r="AX4" t="inlineStr"/>
      <c r="AY4" t="inlineStr"/>
      <c r="AZ4" t="inlineStr"/>
      <c r="BA4" t="inlineStr"/>
      <c r="BB4" t="inlineStr"/>
      <c r="BC4" t="inlineStr"/>
      <c r="BD4" t="inlineStr"/>
      <c r="BE4" t="inlineStr"/>
      <c r="BF4" t="inlineStr"/>
      <c r="BG4" t="inlineStr"/>
      <c r="BH4" t="inlineStr"/>
      <c r="BI4" t="inlineStr"/>
      <c r="BJ4" t="inlineStr"/>
      <c r="BK4" t="inlineStr"/>
      <c r="BL4" t="inlineStr"/>
      <c r="BM4" t="inlineStr"/>
      <c r="BN4" t="inlineStr"/>
      <c r="BO4" t="inlineStr"/>
      <c r="BP4" t="inlineStr"/>
      <c r="BQ4" t="inlineStr"/>
      <c r="BR4" t="inlineStr"/>
      <c r="BS4" t="inlineStr"/>
      <c r="BT4" t="inlineStr"/>
      <c r="BU4" t="inlineStr"/>
      <c r="BV4" t="inlineStr"/>
      <c r="BW4" t="inlineStr"/>
      <c r="BX4" t="inlineStr"/>
      <c r="BY4" t="inlineStr"/>
      <c r="BZ4" t="inlineStr"/>
      <c r="CA4" t="inlineStr"/>
      <c r="CB4" t="inlineStr"/>
      <c r="CC4" t="inlineStr"/>
      <c r="CD4" t="inlineStr"/>
      <c r="CE4" t="inlineStr"/>
      <c r="CF4" t="inlineStr"/>
      <c r="CG4" t="inlineStr"/>
      <c r="CH4" t="inlineStr"/>
      <c r="CI4" t="inlineStr"/>
      <c r="CJ4" t="inlineStr"/>
      <c r="CK4" t="inlineStr"/>
      <c r="CL4" t="inlineStr"/>
      <c r="CM4" t="inlineStr"/>
    </row>
    <row r="5">
      <c r="B5" t="inlineStr"/>
      <c r="C5" t="inlineStr"/>
      <c r="D5" t="inlineStr"/>
      <c r="E5" t="inlineStr"/>
      <c r="F5" t="inlineStr"/>
      <c r="G5" t="inlineStr"/>
      <c r="H5" t="inlineStr"/>
      <c r="I5" t="inlineStr"/>
      <c r="J5" t="inlineStr"/>
      <c r="K5" t="inlineStr"/>
      <c r="L5" t="inlineStr"/>
      <c r="M5" t="inlineStr"/>
      <c r="N5" t="inlineStr"/>
      <c r="O5" t="inlineStr"/>
      <c r="P5" t="inlineStr"/>
      <c r="Q5" t="inlineStr"/>
      <c r="R5" t="inlineStr"/>
      <c r="S5" t="inlineStr"/>
      <c r="T5" t="inlineStr"/>
      <c r="U5" t="inlineStr"/>
      <c r="V5" t="inlineStr"/>
      <c r="W5" t="inlineStr"/>
      <c r="X5" t="inlineStr"/>
      <c r="Y5" t="inlineStr"/>
      <c r="Z5" t="inlineStr"/>
      <c r="AA5" t="inlineStr"/>
      <c r="AB5" t="inlineStr"/>
      <c r="AC5" t="inlineStr"/>
      <c r="AD5" t="inlineStr"/>
      <c r="AE5" t="inlineStr"/>
      <c r="AF5" t="inlineStr"/>
      <c r="AG5" t="inlineStr"/>
      <c r="AH5" t="inlineStr"/>
      <c r="AI5" t="inlineStr"/>
      <c r="AJ5" t="inlineStr"/>
      <c r="AK5" t="inlineStr"/>
      <c r="AL5" t="inlineStr"/>
      <c r="AM5" t="inlineStr"/>
      <c r="AN5" t="inlineStr"/>
      <c r="AO5" t="inlineStr"/>
      <c r="AP5" t="inlineStr"/>
      <c r="AQ5" t="inlineStr"/>
      <c r="AR5" t="inlineStr"/>
      <c r="AS5" t="inlineStr"/>
      <c r="AT5" t="inlineStr"/>
      <c r="AU5" t="inlineStr"/>
      <c r="AV5" t="inlineStr"/>
      <c r="AW5" t="inlineStr"/>
      <c r="AX5" t="inlineStr"/>
      <c r="AY5" t="inlineStr"/>
      <c r="AZ5" t="inlineStr"/>
      <c r="BA5" t="inlineStr"/>
      <c r="BB5" t="inlineStr"/>
      <c r="BC5" t="inlineStr"/>
      <c r="BD5" t="inlineStr"/>
      <c r="BE5" t="inlineStr"/>
      <c r="BF5" t="inlineStr"/>
      <c r="BG5" t="inlineStr"/>
      <c r="BH5" t="inlineStr"/>
      <c r="BI5" t="inlineStr"/>
      <c r="BJ5" t="inlineStr"/>
      <c r="BK5" t="inlineStr"/>
      <c r="BL5" t="inlineStr"/>
      <c r="BM5" t="inlineStr"/>
      <c r="BN5" t="inlineStr"/>
      <c r="BO5" t="inlineStr"/>
      <c r="BP5" t="inlineStr"/>
      <c r="BQ5" t="inlineStr"/>
      <c r="BR5" t="inlineStr"/>
      <c r="BS5" t="inlineStr"/>
      <c r="BT5" t="inlineStr"/>
      <c r="BU5" t="inlineStr"/>
      <c r="BV5" t="inlineStr"/>
      <c r="BW5" t="inlineStr"/>
      <c r="BX5" t="inlineStr"/>
      <c r="BY5" t="inlineStr"/>
      <c r="BZ5" t="inlineStr"/>
      <c r="CA5" t="inlineStr"/>
      <c r="CB5" t="inlineStr"/>
      <c r="CC5" t="inlineStr"/>
      <c r="CD5" t="inlineStr"/>
      <c r="CE5" t="inlineStr"/>
      <c r="CF5" t="inlineStr"/>
      <c r="CG5" t="inlineStr"/>
      <c r="CH5" t="inlineStr"/>
      <c r="CI5" t="inlineStr"/>
      <c r="CJ5" t="inlineStr"/>
      <c r="CK5" t="inlineStr"/>
      <c r="CL5" t="inlineStr"/>
      <c r="CM5" t="inlineStr"/>
    </row>
    <row r="6">
      <c r="B6" t="inlineStr">
        <is>
          <t>Evaluation Assumptions</t>
        </is>
      </c>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c r="AX6" t="inlineStr"/>
      <c r="AY6" t="inlineStr"/>
      <c r="AZ6" t="inlineStr"/>
      <c r="BA6" t="inlineStr"/>
      <c r="BB6" t="inlineStr"/>
      <c r="BC6" t="inlineStr"/>
      <c r="BD6" t="inlineStr"/>
      <c r="BE6" t="inlineStr"/>
      <c r="BF6" t="inlineStr"/>
      <c r="BG6" t="inlineStr"/>
      <c r="BH6" t="inlineStr"/>
      <c r="BI6" t="inlineStr"/>
      <c r="BJ6" t="inlineStr"/>
      <c r="BK6" t="inlineStr"/>
      <c r="BL6" t="inlineStr"/>
      <c r="BM6" t="inlineStr"/>
      <c r="BN6" t="inlineStr"/>
      <c r="BO6" t="inlineStr"/>
      <c r="BP6" t="inlineStr"/>
      <c r="BQ6" t="inlineStr"/>
      <c r="BR6" t="inlineStr"/>
      <c r="BS6" t="inlineStr"/>
      <c r="BT6" t="inlineStr"/>
      <c r="BU6" t="inlineStr"/>
      <c r="BV6" t="inlineStr"/>
      <c r="BW6" t="inlineStr"/>
      <c r="BX6" t="inlineStr"/>
      <c r="BY6" t="inlineStr"/>
      <c r="BZ6" t="inlineStr"/>
      <c r="CA6" t="inlineStr"/>
      <c r="CB6" t="inlineStr"/>
      <c r="CC6" t="inlineStr"/>
      <c r="CD6" t="inlineStr"/>
      <c r="CE6" t="inlineStr"/>
      <c r="CF6" t="inlineStr"/>
      <c r="CG6" t="inlineStr"/>
      <c r="CH6" t="inlineStr"/>
      <c r="CI6" t="inlineStr"/>
      <c r="CJ6" t="inlineStr"/>
      <c r="CK6" t="inlineStr"/>
      <c r="CL6" t="inlineStr"/>
      <c r="CM6" t="inlineStr"/>
    </row>
    <row r="7">
      <c r="B7" s="5" t="inlineStr">
        <is>
          <t>Metric</t>
        </is>
      </c>
      <c r="C7" s="5" t="inlineStr">
        <is>
          <t>Rapid Growth Period</t>
        </is>
      </c>
      <c r="D7" s="5" t="inlineStr">
        <is>
          <t>Forecast Period</t>
        </is>
      </c>
      <c r="E7" s="5" t="inlineStr">
        <is>
          <t>Terminal Period</t>
        </is>
      </c>
      <c r="F7" t="inlineStr"/>
      <c r="G7" t="inlineStr"/>
      <c r="H7" t="inlineStr"/>
      <c r="I7" t="inlineStr"/>
      <c r="J7" t="inlineStr"/>
      <c r="K7" t="inlineStr"/>
      <c r="L7" t="inlineStr"/>
      <c r="M7" t="inlineStr"/>
      <c r="N7" t="inlineStr"/>
      <c r="O7" t="inlineStr"/>
      <c r="P7" t="inlineStr"/>
      <c r="Q7" t="inlineStr"/>
      <c r="R7" t="inlineStr"/>
      <c r="S7" t="inlineStr"/>
      <c r="T7" t="inlineStr"/>
      <c r="U7" t="inlineStr"/>
      <c r="V7" t="inlineStr"/>
      <c r="W7" t="inlineStr"/>
      <c r="X7" t="inlineStr"/>
      <c r="Y7" t="inlineStr"/>
      <c r="Z7" t="inlineStr"/>
      <c r="AA7" t="inlineStr"/>
      <c r="AB7" t="inlineStr"/>
      <c r="AC7" t="inlineStr"/>
      <c r="AD7" t="inlineStr"/>
      <c r="AE7" t="inlineStr"/>
      <c r="AF7" t="inlineStr"/>
      <c r="AG7" t="inlineStr"/>
      <c r="AH7" t="inlineStr"/>
      <c r="AI7" t="inlineStr"/>
      <c r="AJ7" t="inlineStr"/>
      <c r="AK7" t="inlineStr"/>
      <c r="AL7" t="inlineStr"/>
      <c r="AM7" t="inlineStr"/>
      <c r="AN7" t="inlineStr"/>
      <c r="AO7" t="inlineStr"/>
      <c r="AP7" t="inlineStr"/>
      <c r="AQ7" t="inlineStr"/>
      <c r="AR7" t="inlineStr"/>
      <c r="AS7" t="inlineStr"/>
      <c r="AT7" t="inlineStr"/>
      <c r="AU7" t="inlineStr"/>
      <c r="AV7" t="inlineStr"/>
      <c r="AW7" t="inlineStr"/>
      <c r="AX7" t="inlineStr"/>
      <c r="AY7" t="inlineStr"/>
      <c r="AZ7" t="inlineStr"/>
      <c r="BA7" t="inlineStr"/>
      <c r="BB7" t="inlineStr"/>
      <c r="BC7" t="inlineStr"/>
      <c r="BD7" t="inlineStr"/>
      <c r="BE7" t="inlineStr"/>
      <c r="BF7" t="inlineStr"/>
      <c r="BG7" t="inlineStr"/>
      <c r="BH7" t="inlineStr"/>
      <c r="BI7" t="inlineStr"/>
      <c r="BJ7" t="inlineStr"/>
      <c r="BK7" t="inlineStr"/>
      <c r="BL7" t="inlineStr"/>
      <c r="BM7" t="inlineStr"/>
      <c r="BN7" t="inlineStr"/>
      <c r="BO7" t="inlineStr"/>
      <c r="BP7" t="inlineStr"/>
      <c r="BQ7" t="inlineStr"/>
      <c r="BR7" t="inlineStr"/>
      <c r="BS7" t="inlineStr"/>
      <c r="BT7" t="inlineStr"/>
      <c r="BU7" t="inlineStr"/>
      <c r="BV7" t="inlineStr"/>
      <c r="BW7" t="inlineStr"/>
      <c r="BX7" t="inlineStr"/>
      <c r="BY7" t="inlineStr"/>
      <c r="BZ7" t="inlineStr"/>
      <c r="CA7" t="inlineStr"/>
      <c r="CB7" t="inlineStr"/>
      <c r="CC7" t="inlineStr"/>
      <c r="CD7" t="inlineStr"/>
      <c r="CE7" t="inlineStr"/>
      <c r="CF7" t="inlineStr"/>
      <c r="CG7" t="inlineStr"/>
      <c r="CH7" t="inlineStr"/>
      <c r="CI7" t="inlineStr"/>
      <c r="CJ7" t="inlineStr"/>
      <c r="CK7" t="inlineStr"/>
      <c r="CL7" t="inlineStr"/>
      <c r="CM7" t="inlineStr"/>
    </row>
    <row r="8">
      <c r="B8" s="6" t="inlineStr">
        <is>
          <t>Sales Growth</t>
        </is>
      </c>
      <c r="C8" s="7">
        <f>'Model_Assumptions'!C26</f>
        <v/>
      </c>
      <c r="D8" s="7">
        <f>'Model_Assumptions'!D26</f>
        <v/>
      </c>
      <c r="E8" s="7">
        <f>'Model_Assumptions'!E26</f>
        <v/>
      </c>
      <c r="F8" t="inlineStr"/>
      <c r="G8" t="inlineStr"/>
      <c r="H8" t="inlineStr"/>
      <c r="I8" t="inlineStr"/>
      <c r="J8" t="inlineStr"/>
      <c r="K8" t="inlineStr"/>
      <c r="L8" t="inlineStr"/>
      <c r="M8" t="inlineStr"/>
      <c r="N8" t="inlineStr"/>
      <c r="O8" t="inlineStr"/>
      <c r="P8" t="inlineStr"/>
      <c r="Q8" t="inlineStr"/>
      <c r="R8" t="inlineStr"/>
      <c r="S8" t="inlineStr"/>
      <c r="T8" t="inlineStr"/>
      <c r="U8" t="inlineStr"/>
      <c r="V8" t="inlineStr"/>
      <c r="W8" t="inlineStr"/>
      <c r="X8" t="inlineStr"/>
      <c r="Y8" t="inlineStr"/>
      <c r="Z8" t="inlineStr"/>
      <c r="AA8" t="inlineStr"/>
      <c r="AB8" t="inlineStr"/>
      <c r="AC8" t="inlineStr"/>
      <c r="AD8" t="inlineStr"/>
      <c r="AE8" t="inlineStr"/>
      <c r="AF8" t="inlineStr"/>
      <c r="AG8" t="inlineStr"/>
      <c r="AH8" t="inlineStr"/>
      <c r="AI8" t="inlineStr"/>
      <c r="AJ8" t="inlineStr"/>
      <c r="AK8" t="inlineStr"/>
      <c r="AL8" t="inlineStr"/>
      <c r="AM8" t="inlineStr"/>
      <c r="AN8" t="inlineStr"/>
      <c r="AO8" t="inlineStr"/>
      <c r="AP8" t="inlineStr"/>
      <c r="AQ8" t="inlineStr"/>
      <c r="AR8" t="inlineStr"/>
      <c r="AS8" t="inlineStr"/>
      <c r="AT8" t="inlineStr"/>
      <c r="AU8" t="inlineStr"/>
      <c r="AV8" t="inlineStr"/>
      <c r="AW8" t="inlineStr"/>
      <c r="AX8" t="inlineStr"/>
      <c r="AY8" t="inlineStr"/>
      <c r="AZ8" t="inlineStr"/>
      <c r="BA8" t="inlineStr"/>
      <c r="BB8" t="inlineStr"/>
      <c r="BC8" t="inlineStr"/>
      <c r="BD8" t="inlineStr"/>
      <c r="BE8" t="inlineStr"/>
      <c r="BF8" t="inlineStr"/>
      <c r="BG8" t="inlineStr"/>
      <c r="BH8" t="inlineStr"/>
      <c r="BI8" t="inlineStr"/>
      <c r="BJ8" t="inlineStr"/>
      <c r="BK8" t="inlineStr"/>
      <c r="BL8" t="inlineStr"/>
      <c r="BM8" t="inlineStr"/>
      <c r="BN8" t="inlineStr"/>
      <c r="BO8" t="inlineStr"/>
      <c r="BP8" t="inlineStr"/>
      <c r="BQ8" t="inlineStr"/>
      <c r="BR8" t="inlineStr"/>
      <c r="BS8" t="inlineStr"/>
      <c r="BT8" t="inlineStr"/>
      <c r="BU8" t="inlineStr"/>
      <c r="BV8" t="inlineStr"/>
      <c r="BW8" t="inlineStr"/>
      <c r="BX8" t="inlineStr"/>
      <c r="BY8" t="inlineStr"/>
      <c r="BZ8" t="inlineStr"/>
      <c r="CA8" t="inlineStr"/>
      <c r="CB8" t="inlineStr"/>
      <c r="CC8" t="inlineStr"/>
      <c r="CD8" t="inlineStr"/>
      <c r="CE8" t="inlineStr"/>
      <c r="CF8" t="inlineStr"/>
      <c r="CG8" t="inlineStr"/>
      <c r="CH8" t="inlineStr"/>
      <c r="CI8" t="inlineStr"/>
      <c r="CJ8" t="inlineStr"/>
      <c r="CK8" t="inlineStr"/>
      <c r="CL8" t="inlineStr"/>
      <c r="CM8" t="inlineStr"/>
    </row>
    <row r="9">
      <c r="B9" s="8" t="inlineStr">
        <is>
          <t>Effective Tax Rate</t>
        </is>
      </c>
      <c r="C9" s="9">
        <f>'Model_Assumptions'!C27</f>
        <v/>
      </c>
      <c r="D9" s="9">
        <f>'Model_Assumptions'!D27</f>
        <v/>
      </c>
      <c r="E9" s="9">
        <f>'Model_Assumptions'!E27</f>
        <v/>
      </c>
      <c r="F9" t="inlineStr"/>
      <c r="G9" t="inlineStr"/>
      <c r="H9" t="inlineStr"/>
      <c r="I9" t="inlineStr"/>
      <c r="J9" t="inlineStr"/>
      <c r="K9" t="inlineStr"/>
      <c r="L9" t="inlineStr"/>
      <c r="M9" t="inlineStr"/>
      <c r="N9" t="inlineStr"/>
      <c r="O9" t="inlineStr"/>
      <c r="P9" t="inlineStr"/>
      <c r="Q9" t="inlineStr"/>
      <c r="R9" t="inlineStr"/>
      <c r="S9" t="inlineStr"/>
      <c r="T9" t="inlineStr"/>
      <c r="U9" t="inlineStr"/>
      <c r="V9" t="inlineStr"/>
      <c r="W9" t="inlineStr"/>
      <c r="X9" t="inlineStr"/>
      <c r="Y9" t="inlineStr"/>
      <c r="Z9" t="inlineStr"/>
      <c r="AA9" t="inlineStr"/>
      <c r="AB9" t="inlineStr"/>
      <c r="AC9" t="inlineStr"/>
      <c r="AD9" t="inlineStr"/>
      <c r="AE9" t="inlineStr"/>
      <c r="AF9" t="inlineStr"/>
      <c r="AG9" t="inlineStr"/>
      <c r="AH9" t="inlineStr"/>
      <c r="AI9" t="inlineStr"/>
      <c r="AJ9" t="inlineStr"/>
      <c r="AK9" t="inlineStr"/>
      <c r="AL9" t="inlineStr"/>
      <c r="AM9" t="inlineStr"/>
      <c r="AN9" t="inlineStr"/>
      <c r="AO9" t="inlineStr"/>
      <c r="AP9" t="inlineStr"/>
      <c r="AQ9" t="inlineStr"/>
      <c r="AR9" t="inlineStr"/>
      <c r="AS9" t="inlineStr"/>
      <c r="AT9" t="inlineStr"/>
      <c r="AU9" t="inlineStr"/>
      <c r="AV9" t="inlineStr"/>
      <c r="AW9" t="inlineStr"/>
      <c r="AX9" t="inlineStr"/>
      <c r="AY9" t="inlineStr"/>
      <c r="AZ9" t="inlineStr"/>
      <c r="BA9" t="inlineStr"/>
      <c r="BB9" t="inlineStr"/>
      <c r="BC9" t="inlineStr"/>
      <c r="BD9" t="inlineStr"/>
      <c r="BE9" t="inlineStr"/>
      <c r="BF9" t="inlineStr"/>
      <c r="BG9" t="inlineStr"/>
      <c r="BH9" t="inlineStr"/>
      <c r="BI9" t="inlineStr"/>
      <c r="BJ9" t="inlineStr"/>
      <c r="BK9" t="inlineStr"/>
      <c r="BL9" t="inlineStr"/>
      <c r="BM9" t="inlineStr"/>
      <c r="BN9" t="inlineStr"/>
      <c r="BO9" t="inlineStr"/>
      <c r="BP9" t="inlineStr"/>
      <c r="BQ9" t="inlineStr"/>
      <c r="BR9" t="inlineStr"/>
      <c r="BS9" t="inlineStr"/>
      <c r="BT9" t="inlineStr"/>
      <c r="BU9" t="inlineStr"/>
      <c r="BV9" t="inlineStr"/>
      <c r="BW9" t="inlineStr"/>
      <c r="BX9" t="inlineStr"/>
      <c r="BY9" t="inlineStr"/>
      <c r="BZ9" t="inlineStr"/>
      <c r="CA9" t="inlineStr"/>
      <c r="CB9" t="inlineStr"/>
      <c r="CC9" t="inlineStr"/>
      <c r="CD9" t="inlineStr"/>
      <c r="CE9" t="inlineStr"/>
      <c r="CF9" t="inlineStr"/>
      <c r="CG9" t="inlineStr"/>
      <c r="CH9" t="inlineStr"/>
      <c r="CI9" t="inlineStr"/>
      <c r="CJ9" t="inlineStr"/>
      <c r="CK9" t="inlineStr"/>
      <c r="CL9" t="inlineStr"/>
      <c r="CM9" t="inlineStr"/>
    </row>
    <row r="10">
      <c r="B10" s="8" t="inlineStr">
        <is>
          <t>EBITDA : Revenue (%)</t>
        </is>
      </c>
      <c r="C10" s="9">
        <f>'Model_Assumptions'!C28</f>
        <v/>
      </c>
      <c r="D10" s="9">
        <f>'Model_Assumptions'!D28</f>
        <v/>
      </c>
      <c r="E10" s="9">
        <f>'Model_Assumptions'!E28</f>
        <v/>
      </c>
      <c r="F10" t="inlineStr"/>
      <c r="G10" t="inlineStr"/>
      <c r="H10" t="inlineStr"/>
      <c r="I10" t="inlineStr"/>
      <c r="J10" t="inlineStr"/>
      <c r="K10" t="inlineStr"/>
      <c r="L10" t="inlineStr"/>
      <c r="M10" t="inlineStr"/>
      <c r="N10" t="inlineStr"/>
      <c r="O10" t="inlineStr"/>
      <c r="P10" t="inlineStr"/>
      <c r="Q10" t="inlineStr"/>
      <c r="R10" t="inlineStr"/>
      <c r="S10" t="inlineStr"/>
      <c r="T10" t="inlineStr"/>
      <c r="U10" t="inlineStr"/>
      <c r="V10" t="inlineStr"/>
      <c r="W10" t="inlineStr"/>
      <c r="X10" t="inlineStr"/>
      <c r="Y10" t="inlineStr"/>
      <c r="Z10" t="inlineStr"/>
      <c r="AA10" t="inlineStr"/>
      <c r="AB10" t="inlineStr"/>
      <c r="AC10" t="inlineStr"/>
      <c r="AD10" t="inlineStr"/>
      <c r="AE10" t="inlineStr"/>
      <c r="AF10" t="inlineStr"/>
      <c r="AG10" t="inlineStr"/>
      <c r="AH10" t="inlineStr"/>
      <c r="AI10" t="inlineStr"/>
      <c r="AJ10" t="inlineStr"/>
      <c r="AK10" t="inlineStr"/>
      <c r="AL10" t="inlineStr"/>
      <c r="AM10" t="inlineStr"/>
      <c r="AN10" t="inlineStr"/>
      <c r="AO10" t="inlineStr"/>
      <c r="AP10" t="inlineStr"/>
      <c r="AQ10" t="inlineStr"/>
      <c r="AR10" t="inlineStr"/>
      <c r="AS10" t="inlineStr"/>
      <c r="AT10" t="inlineStr"/>
      <c r="AU10" t="inlineStr"/>
      <c r="AV10" t="inlineStr"/>
      <c r="AW10" t="inlineStr"/>
      <c r="AX10" t="inlineStr"/>
      <c r="AY10" t="inlineStr"/>
      <c r="AZ10" t="inlineStr"/>
      <c r="BA10" t="inlineStr"/>
      <c r="BB10" t="inlineStr"/>
      <c r="BC10" t="inlineStr"/>
      <c r="BD10" t="inlineStr"/>
      <c r="BE10" t="inlineStr"/>
      <c r="BF10" t="inlineStr"/>
      <c r="BG10" t="inlineStr"/>
      <c r="BH10" t="inlineStr"/>
      <c r="BI10" t="inlineStr"/>
      <c r="BJ10" t="inlineStr"/>
      <c r="BK10" t="inlineStr"/>
      <c r="BL10" t="inlineStr"/>
      <c r="BM10" t="inlineStr"/>
      <c r="BN10" t="inlineStr"/>
      <c r="BO10" t="inlineStr"/>
      <c r="BP10" t="inlineStr"/>
      <c r="BQ10" t="inlineStr"/>
      <c r="BR10" t="inlineStr"/>
      <c r="BS10" t="inlineStr"/>
      <c r="BT10" t="inlineStr"/>
      <c r="BU10" t="inlineStr"/>
      <c r="BV10" t="inlineStr"/>
      <c r="BW10" t="inlineStr"/>
      <c r="BX10" t="inlineStr"/>
      <c r="BY10" t="inlineStr"/>
      <c r="BZ10" t="inlineStr"/>
      <c r="CA10" t="inlineStr"/>
      <c r="CB10" t="inlineStr"/>
      <c r="CC10" t="inlineStr"/>
      <c r="CD10" t="inlineStr"/>
      <c r="CE10" t="inlineStr"/>
      <c r="CF10" t="inlineStr"/>
      <c r="CG10" t="inlineStr"/>
      <c r="CH10" t="inlineStr"/>
      <c r="CI10" t="inlineStr"/>
      <c r="CJ10" t="inlineStr"/>
      <c r="CK10" t="inlineStr"/>
      <c r="CL10" t="inlineStr"/>
      <c r="CM10" t="inlineStr"/>
    </row>
    <row r="11">
      <c r="B11" s="8" t="inlineStr">
        <is>
          <t>Depreciaiton : Revenue (%)</t>
        </is>
      </c>
      <c r="C11" s="9">
        <f>'Model_Assumptions'!C29</f>
        <v/>
      </c>
      <c r="D11" s="9">
        <f>'Model_Assumptions'!D29</f>
        <v/>
      </c>
      <c r="E11" s="9">
        <f>'Model_Assumptions'!E29</f>
        <v/>
      </c>
      <c r="F11" t="inlineStr"/>
      <c r="G11" t="inlineStr"/>
      <c r="H11" t="inlineStr"/>
      <c r="I11" t="inlineStr"/>
      <c r="J11" t="inlineStr"/>
      <c r="K11" t="inlineStr"/>
      <c r="L11" t="inlineStr"/>
      <c r="M11" t="inlineStr"/>
      <c r="N11" t="inlineStr"/>
      <c r="O11" t="inlineStr"/>
      <c r="P11" t="inlineStr"/>
      <c r="Q11" t="inlineStr"/>
      <c r="R11" t="inlineStr"/>
      <c r="S11" t="inlineStr"/>
      <c r="T11" t="inlineStr"/>
      <c r="U11" t="inlineStr"/>
      <c r="V11" t="inlineStr"/>
      <c r="W11" t="inlineStr"/>
      <c r="X11" t="inlineStr"/>
      <c r="Y11" t="inlineStr"/>
      <c r="Z11" t="inlineStr"/>
      <c r="AA11" t="inlineStr"/>
      <c r="AB11" t="inlineStr"/>
      <c r="AC11" t="inlineStr"/>
      <c r="AD11" t="inlineStr"/>
      <c r="AE11" t="inlineStr"/>
      <c r="AF11" t="inlineStr"/>
      <c r="AG11" t="inlineStr"/>
      <c r="AH11" t="inlineStr"/>
      <c r="AI11" t="inlineStr"/>
      <c r="AJ11" t="inlineStr"/>
      <c r="AK11" t="inlineStr"/>
      <c r="AL11" t="inlineStr"/>
      <c r="AM11" t="inlineStr"/>
      <c r="AN11" t="inlineStr"/>
      <c r="AO11" t="inlineStr"/>
      <c r="AP11" t="inlineStr"/>
      <c r="AQ11" t="inlineStr"/>
      <c r="AR11" t="inlineStr"/>
      <c r="AS11" t="inlineStr"/>
      <c r="AT11" t="inlineStr"/>
      <c r="AU11" t="inlineStr"/>
      <c r="AV11" t="inlineStr"/>
      <c r="AW11" t="inlineStr"/>
      <c r="AX11" t="inlineStr"/>
      <c r="AY11" t="inlineStr"/>
      <c r="AZ11" t="inlineStr"/>
      <c r="BA11" t="inlineStr"/>
      <c r="BB11" t="inlineStr"/>
      <c r="BC11" t="inlineStr"/>
      <c r="BD11" t="inlineStr"/>
      <c r="BE11" t="inlineStr"/>
      <c r="BF11" t="inlineStr"/>
      <c r="BG11" t="inlineStr"/>
      <c r="BH11" t="inlineStr"/>
      <c r="BI11" t="inlineStr"/>
      <c r="BJ11" t="inlineStr"/>
      <c r="BK11" t="inlineStr"/>
      <c r="BL11" t="inlineStr"/>
      <c r="BM11" t="inlineStr"/>
      <c r="BN11" t="inlineStr"/>
      <c r="BO11" t="inlineStr"/>
      <c r="BP11" t="inlineStr"/>
      <c r="BQ11" t="inlineStr"/>
      <c r="BR11" t="inlineStr"/>
      <c r="BS11" t="inlineStr"/>
      <c r="BT11" t="inlineStr"/>
      <c r="BU11" t="inlineStr"/>
      <c r="BV11" t="inlineStr"/>
      <c r="BW11" t="inlineStr"/>
      <c r="BX11" t="inlineStr"/>
      <c r="BY11" t="inlineStr"/>
      <c r="BZ11" t="inlineStr"/>
      <c r="CA11" t="inlineStr"/>
      <c r="CB11" t="inlineStr"/>
      <c r="CC11" t="inlineStr"/>
      <c r="CD11" t="inlineStr"/>
      <c r="CE11" t="inlineStr"/>
      <c r="CF11" t="inlineStr"/>
      <c r="CG11" t="inlineStr"/>
      <c r="CH11" t="inlineStr"/>
      <c r="CI11" t="inlineStr"/>
      <c r="CJ11" t="inlineStr"/>
      <c r="CK11" t="inlineStr"/>
      <c r="CL11" t="inlineStr"/>
      <c r="CM11" t="inlineStr"/>
    </row>
    <row r="12">
      <c r="B12" s="8" t="inlineStr">
        <is>
          <t>Working Capital : Revenue (%)</t>
        </is>
      </c>
      <c r="C12" s="9">
        <f>'Model_Assumptions'!C30</f>
        <v/>
      </c>
      <c r="D12" s="9">
        <f>'Model_Assumptions'!D30</f>
        <v/>
      </c>
      <c r="E12" s="9">
        <f>'Model_Assumptions'!E30</f>
        <v/>
      </c>
      <c r="F12" t="inlineStr"/>
      <c r="G12" t="inlineStr"/>
      <c r="H12" t="inlineStr"/>
      <c r="I12" t="inlineStr"/>
      <c r="J12" t="inlineStr"/>
      <c r="K12" t="inlineStr"/>
      <c r="L12" t="inlineStr"/>
      <c r="M12" t="inlineStr"/>
      <c r="N12" t="inlineStr"/>
      <c r="O12" t="inlineStr"/>
      <c r="P12" t="inlineStr"/>
      <c r="Q12" t="inlineStr"/>
      <c r="R12" t="inlineStr"/>
      <c r="S12" t="inlineStr"/>
      <c r="T12" t="inlineStr"/>
      <c r="U12" t="inlineStr"/>
      <c r="V12" t="inlineStr"/>
      <c r="W12" t="inlineStr"/>
      <c r="X12" t="inlineStr"/>
      <c r="Y12" t="inlineStr"/>
      <c r="Z12" t="inlineStr"/>
      <c r="AA12" t="inlineStr"/>
      <c r="AB12" t="inlineStr"/>
      <c r="AC12" t="inlineStr"/>
      <c r="AD12" t="inlineStr"/>
      <c r="AE12" t="inlineStr"/>
      <c r="AF12" t="inlineStr"/>
      <c r="AG12" t="inlineStr"/>
      <c r="AH12" t="inlineStr"/>
      <c r="AI12" t="inlineStr"/>
      <c r="AJ12" t="inlineStr"/>
      <c r="AK12" t="inlineStr"/>
      <c r="AL12" t="inlineStr"/>
      <c r="AM12" t="inlineStr"/>
      <c r="AN12" t="inlineStr"/>
      <c r="AO12" t="inlineStr"/>
      <c r="AP12" t="inlineStr"/>
      <c r="AQ12" t="inlineStr"/>
      <c r="AR12" t="inlineStr"/>
      <c r="AS12" t="inlineStr"/>
      <c r="AT12" t="inlineStr"/>
      <c r="AU12" t="inlineStr"/>
      <c r="AV12" t="inlineStr"/>
      <c r="AW12" t="inlineStr"/>
      <c r="AX12" t="inlineStr"/>
      <c r="AY12" t="inlineStr"/>
      <c r="AZ12" t="inlineStr"/>
      <c r="BA12" t="inlineStr"/>
      <c r="BB12" t="inlineStr"/>
      <c r="BC12" t="inlineStr"/>
      <c r="BD12" t="inlineStr"/>
      <c r="BE12" t="inlineStr"/>
      <c r="BF12" t="inlineStr"/>
      <c r="BG12" t="inlineStr"/>
      <c r="BH12" t="inlineStr"/>
      <c r="BI12" t="inlineStr"/>
      <c r="BJ12" t="inlineStr"/>
      <c r="BK12" t="inlineStr"/>
      <c r="BL12" t="inlineStr"/>
      <c r="BM12" t="inlineStr"/>
      <c r="BN12" t="inlineStr"/>
      <c r="BO12" t="inlineStr"/>
      <c r="BP12" t="inlineStr"/>
      <c r="BQ12" t="inlineStr"/>
      <c r="BR12" t="inlineStr"/>
      <c r="BS12" t="inlineStr"/>
      <c r="BT12" t="inlineStr"/>
      <c r="BU12" t="inlineStr"/>
      <c r="BV12" t="inlineStr"/>
      <c r="BW12" t="inlineStr"/>
      <c r="BX12" t="inlineStr"/>
      <c r="BY12" t="inlineStr"/>
      <c r="BZ12" t="inlineStr"/>
      <c r="CA12" t="inlineStr"/>
      <c r="CB12" t="inlineStr"/>
      <c r="CC12" t="inlineStr"/>
      <c r="CD12" t="inlineStr"/>
      <c r="CE12" t="inlineStr"/>
      <c r="CF12" t="inlineStr"/>
      <c r="CG12" t="inlineStr"/>
      <c r="CH12" t="inlineStr"/>
      <c r="CI12" t="inlineStr"/>
      <c r="CJ12" t="inlineStr"/>
      <c r="CK12" t="inlineStr"/>
      <c r="CL12" t="inlineStr"/>
      <c r="CM12" t="inlineStr"/>
    </row>
    <row r="13">
      <c r="B13" s="10" t="inlineStr">
        <is>
          <t>CAPEX : Revenue (%)</t>
        </is>
      </c>
      <c r="C13" s="11">
        <f>'Model_Assumptions'!C31</f>
        <v/>
      </c>
      <c r="D13" s="11">
        <f>'Model_Assumptions'!D31</f>
        <v/>
      </c>
      <c r="E13" s="11">
        <f>'Model_Assumptions'!E31</f>
        <v/>
      </c>
      <c r="F13" t="inlineStr"/>
      <c r="G13" t="inlineStr"/>
      <c r="H13" t="inlineStr"/>
      <c r="I13" t="inlineStr"/>
      <c r="J13" t="inlineStr"/>
      <c r="K13" t="inlineStr"/>
      <c r="L13" t="inlineStr"/>
      <c r="M13" t="inlineStr"/>
      <c r="N13" t="inlineStr"/>
      <c r="O13" t="inlineStr"/>
      <c r="P13" t="inlineStr"/>
      <c r="Q13" t="inlineStr"/>
      <c r="R13" t="inlineStr"/>
      <c r="S13" t="inlineStr"/>
      <c r="T13" t="inlineStr"/>
      <c r="U13" t="inlineStr"/>
      <c r="V13" t="inlineStr"/>
      <c r="W13" t="inlineStr"/>
      <c r="X13" t="inlineStr"/>
      <c r="Y13" t="inlineStr"/>
      <c r="Z13" t="inlineStr"/>
      <c r="AA13" t="inlineStr"/>
      <c r="AB13" t="inlineStr"/>
      <c r="AC13" t="inlineStr"/>
      <c r="AD13" t="inlineStr"/>
      <c r="AE13" t="inlineStr"/>
      <c r="AF13" t="inlineStr"/>
      <c r="AG13" t="inlineStr"/>
      <c r="AH13" t="inlineStr"/>
      <c r="AI13" t="inlineStr"/>
      <c r="AJ13" t="inlineStr"/>
      <c r="AK13" t="inlineStr"/>
      <c r="AL13" t="inlineStr"/>
      <c r="AM13" t="inlineStr"/>
      <c r="AN13" t="inlineStr"/>
      <c r="AO13" t="inlineStr"/>
      <c r="AP13" t="inlineStr"/>
      <c r="AQ13" t="inlineStr"/>
      <c r="AR13" t="inlineStr"/>
      <c r="AS13" t="inlineStr"/>
      <c r="AT13" t="inlineStr"/>
      <c r="AU13" t="inlineStr"/>
      <c r="AV13" t="inlineStr"/>
      <c r="AW13" t="inlineStr"/>
      <c r="AX13" t="inlineStr"/>
      <c r="AY13" t="inlineStr"/>
      <c r="AZ13" t="inlineStr"/>
      <c r="BA13" t="inlineStr"/>
      <c r="BB13" t="inlineStr"/>
      <c r="BC13" t="inlineStr"/>
      <c r="BD13" t="inlineStr"/>
      <c r="BE13" t="inlineStr"/>
      <c r="BF13" t="inlineStr"/>
      <c r="BG13" t="inlineStr"/>
      <c r="BH13" t="inlineStr"/>
      <c r="BI13" t="inlineStr"/>
      <c r="BJ13" t="inlineStr"/>
      <c r="BK13" t="inlineStr"/>
      <c r="BL13" t="inlineStr"/>
      <c r="BM13" t="inlineStr"/>
      <c r="BN13" t="inlineStr"/>
      <c r="BO13" t="inlineStr"/>
      <c r="BP13" t="inlineStr"/>
      <c r="BQ13" t="inlineStr"/>
      <c r="BR13" t="inlineStr"/>
      <c r="BS13" t="inlineStr"/>
      <c r="BT13" t="inlineStr"/>
      <c r="BU13" t="inlineStr"/>
      <c r="BV13" t="inlineStr"/>
      <c r="BW13" t="inlineStr"/>
      <c r="BX13" t="inlineStr"/>
      <c r="BY13" t="inlineStr"/>
      <c r="BZ13" t="inlineStr"/>
      <c r="CA13" t="inlineStr"/>
      <c r="CB13" t="inlineStr"/>
      <c r="CC13" t="inlineStr"/>
      <c r="CD13" t="inlineStr"/>
      <c r="CE13" t="inlineStr"/>
      <c r="CF13" t="inlineStr"/>
      <c r="CG13" t="inlineStr"/>
      <c r="CH13" t="inlineStr"/>
      <c r="CI13" t="inlineStr"/>
      <c r="CJ13" t="inlineStr"/>
      <c r="CK13" t="inlineStr"/>
      <c r="CL13" t="inlineStr"/>
      <c r="CM13" t="inlineStr"/>
    </row>
    <row r="14">
      <c r="B14" t="inlineStr"/>
      <c r="C14" t="inlineStr"/>
      <c r="D14" t="inlineStr"/>
      <c r="E14" t="inlineStr"/>
      <c r="F14" t="inlineStr"/>
      <c r="G14" t="inlineStr"/>
      <c r="H14" t="inlineStr"/>
      <c r="I14" t="inlineStr"/>
      <c r="J14" t="inlineStr"/>
      <c r="K14" t="inlineStr"/>
      <c r="L14" t="inlineStr"/>
      <c r="M14" t="inlineStr"/>
      <c r="N14" t="inlineStr"/>
      <c r="O14" t="inlineStr"/>
      <c r="P14" t="inlineStr"/>
      <c r="Q14" t="inlineStr"/>
      <c r="R14" t="inlineStr"/>
      <c r="S14" t="inlineStr"/>
      <c r="T14" t="inlineStr"/>
      <c r="U14" t="inlineStr"/>
      <c r="V14" t="inlineStr"/>
      <c r="W14" t="inlineStr"/>
      <c r="X14" t="inlineStr"/>
      <c r="Y14" t="inlineStr"/>
      <c r="Z14" t="inlineStr"/>
      <c r="AA14" t="inlineStr"/>
      <c r="AB14" t="inlineStr"/>
      <c r="AC14" t="inlineStr"/>
      <c r="AD14" t="inlineStr"/>
      <c r="AE14" t="inlineStr"/>
      <c r="AF14" t="inlineStr"/>
      <c r="AG14" t="inlineStr"/>
      <c r="AH14" t="inlineStr"/>
      <c r="AI14" t="inlineStr"/>
      <c r="AJ14" t="inlineStr"/>
      <c r="AK14" t="inlineStr"/>
      <c r="AL14" t="inlineStr"/>
      <c r="AM14" t="inlineStr"/>
      <c r="AN14" t="inlineStr"/>
      <c r="AO14" t="inlineStr"/>
      <c r="AP14" t="inlineStr"/>
      <c r="AQ14" t="inlineStr"/>
      <c r="AR14" t="inlineStr"/>
      <c r="AS14" t="inlineStr"/>
      <c r="AT14" t="inlineStr"/>
      <c r="AU14" t="inlineStr"/>
      <c r="AV14" t="inlineStr"/>
      <c r="AW14" t="inlineStr"/>
      <c r="AX14" t="inlineStr"/>
      <c r="AY14" t="inlineStr"/>
      <c r="AZ14" t="inlineStr"/>
      <c r="BA14" t="inlineStr"/>
      <c r="BB14" t="inlineStr"/>
      <c r="BC14" t="inlineStr"/>
      <c r="BD14" t="inlineStr"/>
      <c r="BE14" t="inlineStr"/>
      <c r="BF14" t="inlineStr"/>
      <c r="BG14" t="inlineStr"/>
      <c r="BH14" t="inlineStr"/>
      <c r="BI14" t="inlineStr"/>
      <c r="BJ14" t="inlineStr"/>
      <c r="BK14" t="inlineStr"/>
      <c r="BL14" t="inlineStr"/>
      <c r="BM14" t="inlineStr"/>
      <c r="BN14" t="inlineStr"/>
      <c r="BO14" t="inlineStr"/>
      <c r="BP14" t="inlineStr"/>
      <c r="BQ14" t="inlineStr"/>
      <c r="BR14" t="inlineStr"/>
      <c r="BS14" t="inlineStr"/>
      <c r="BT14" t="inlineStr"/>
      <c r="BU14" t="inlineStr"/>
      <c r="BV14" t="inlineStr"/>
      <c r="BW14" t="inlineStr"/>
      <c r="BX14" t="inlineStr"/>
      <c r="BY14" t="inlineStr"/>
      <c r="BZ14" t="inlineStr"/>
      <c r="CA14" t="inlineStr"/>
      <c r="CB14" t="inlineStr"/>
      <c r="CC14" t="inlineStr"/>
      <c r="CD14" t="inlineStr"/>
      <c r="CE14" t="inlineStr"/>
      <c r="CF14" t="inlineStr"/>
      <c r="CG14" t="inlineStr"/>
      <c r="CH14" t="inlineStr"/>
      <c r="CI14" t="inlineStr"/>
      <c r="CJ14" t="inlineStr"/>
      <c r="CK14" t="inlineStr"/>
      <c r="CL14" t="inlineStr"/>
      <c r="CM14" t="inlineStr"/>
    </row>
    <row r="15">
      <c r="B15" t="inlineStr">
        <is>
          <t>Cash Flows</t>
        </is>
      </c>
      <c r="C15" t="inlineStr"/>
      <c r="D15">
        <f>IF(Model_Assumptions!$C$8 = 0, $D$7, $C$7)</f>
        <v/>
      </c>
      <c r="E15">
        <f>IF(E16=Model_Assumptions!$C$8 +1, $D$7, IF(E16 = Model_Assumptions!$B$8+1, $E$7, ""))</f>
        <v/>
      </c>
      <c r="F15">
        <f>IF(F16=Model_Assumptions!$C$8 +1, $D$7, IF(F16 = Model_Assumptions!$B$8+1, $E$7, ""))</f>
        <v/>
      </c>
      <c r="G15">
        <f>IF(G16=Model_Assumptions!$C$8 +1, $D$7, IF(G16 = Model_Assumptions!$B$8+1, $E$7, ""))</f>
        <v/>
      </c>
      <c r="H15">
        <f>IF(H16=Model_Assumptions!$C$8 +1, $D$7, IF(H16 = Model_Assumptions!$B$8+1, $E$7, ""))</f>
        <v/>
      </c>
      <c r="I15">
        <f>IF(I16=Model_Assumptions!$C$8 +1, $D$7, IF(I16 = Model_Assumptions!$B$8+1, $E$7, ""))</f>
        <v/>
      </c>
      <c r="J15">
        <f>IF(J16=Model_Assumptions!$C$8 +1, $D$7, IF(J16 = Model_Assumptions!$B$8+1, $E$7, ""))</f>
        <v/>
      </c>
      <c r="K15">
        <f>IF(K16=Model_Assumptions!$C$8 +1, $D$7, IF(K16 = Model_Assumptions!$B$8+1, $E$7, ""))</f>
        <v/>
      </c>
      <c r="L15">
        <f>IF(L16=Model_Assumptions!$C$8 +1, $D$7, IF(L16 = Model_Assumptions!$B$8+1, $E$7, ""))</f>
        <v/>
      </c>
      <c r="M15">
        <f>IF(M16=Model_Assumptions!$C$8 +1, $D$7, IF(M16 = Model_Assumptions!$B$8+1, $E$7, ""))</f>
        <v/>
      </c>
      <c r="N15">
        <f>IF(N16=Model_Assumptions!$C$8 +1, $D$7, IF(N16 = Model_Assumptions!$B$8+1, $E$7, ""))</f>
        <v/>
      </c>
      <c r="O15">
        <f>IF(O16=Model_Assumptions!$C$8 +1, $D$7, IF(O16 = Model_Assumptions!$B$8+1, $E$7, ""))</f>
        <v/>
      </c>
      <c r="P15">
        <f>IF(P16=Model_Assumptions!$C$8 +1, $D$7, IF(P16 = Model_Assumptions!$B$8+1, $E$7, ""))</f>
        <v/>
      </c>
      <c r="Q15">
        <f>IF(Q16=Model_Assumptions!$C$8 +1, $D$7, IF(Q16 = Model_Assumptions!$B$8+1, $E$7, ""))</f>
        <v/>
      </c>
      <c r="R15">
        <f>IF(R16=Model_Assumptions!$C$8 +1, $D$7, IF(R16 = Model_Assumptions!$B$8+1, $E$7, ""))</f>
        <v/>
      </c>
      <c r="S15">
        <f>IF(S16=Model_Assumptions!$C$8 +1, $D$7, IF(S16 = Model_Assumptions!$B$8+1, $E$7, ""))</f>
        <v/>
      </c>
      <c r="T15">
        <f>IF(T16=Model_Assumptions!$C$8 +1, $D$7, IF(T16 = Model_Assumptions!$B$8+1, $E$7, ""))</f>
        <v/>
      </c>
      <c r="U15">
        <f>IF(U16=Model_Assumptions!$C$8 +1, $D$7, IF(U16 = Model_Assumptions!$B$8+1, $E$7, ""))</f>
        <v/>
      </c>
      <c r="V15">
        <f>IF(V16=Model_Assumptions!$C$8 +1, $D$7, IF(V16 = Model_Assumptions!$B$8+1, $E$7, ""))</f>
        <v/>
      </c>
      <c r="W15">
        <f>IF(W16=Model_Assumptions!$C$8 +1, $D$7, IF(W16 = Model_Assumptions!$B$8+1, $E$7, ""))</f>
        <v/>
      </c>
      <c r="X15">
        <f>IF(X16=Model_Assumptions!$C$8 +1, $D$7, IF(X16 = Model_Assumptions!$B$8+1, $E$7, ""))</f>
        <v/>
      </c>
      <c r="Y15">
        <f>IF(Y16=Model_Assumptions!$C$8 +1, $D$7, IF(Y16 = Model_Assumptions!$B$8+1, $E$7, ""))</f>
        <v/>
      </c>
      <c r="Z15">
        <f>IF(Z16=Model_Assumptions!$C$8 +1, $D$7, IF(Z16 = Model_Assumptions!$B$8+1, $E$7, ""))</f>
        <v/>
      </c>
      <c r="AA15">
        <f>IF(AA16=Model_Assumptions!$C$8 +1, $D$7, IF(AA16 = Model_Assumptions!$B$8+1, $E$7, ""))</f>
        <v/>
      </c>
      <c r="AB15">
        <f>IF(AB16=Model_Assumptions!$C$8 +1, $D$7, IF(AB16 = Model_Assumptions!$B$8+1, $E$7, ""))</f>
        <v/>
      </c>
      <c r="AC15">
        <f>IF(AC16=Model_Assumptions!$C$8 +1, $D$7, IF(AC16 = Model_Assumptions!$B$8+1, $E$7, ""))</f>
        <v/>
      </c>
      <c r="AD15">
        <f>IF(AD16=Model_Assumptions!$C$8 +1, $D$7, IF(AD16 = Model_Assumptions!$B$8+1, $E$7, ""))</f>
        <v/>
      </c>
      <c r="AE15">
        <f>IF(AE16=Model_Assumptions!$C$8 +1, $D$7, IF(AE16 = Model_Assumptions!$B$8+1, $E$7, ""))</f>
        <v/>
      </c>
      <c r="AF15">
        <f>IF(AF16=Model_Assumptions!$C$8 +1, $D$7, IF(AF16 = Model_Assumptions!$B$8+1, $E$7, ""))</f>
        <v/>
      </c>
      <c r="AG15">
        <f>IF(AG16=Model_Assumptions!$C$8 +1, $D$7, IF(AG16 = Model_Assumptions!$B$8+1, $E$7, ""))</f>
        <v/>
      </c>
      <c r="AH15">
        <f>IF(AH16=Model_Assumptions!$C$8 +1, $D$7, IF(AH16 = Model_Assumptions!$B$8+1, $E$7, ""))</f>
        <v/>
      </c>
      <c r="AI15">
        <f>IF(AI16=Model_Assumptions!$C$8 +1, $D$7, IF(AI16 = Model_Assumptions!$B$8+1, $E$7, ""))</f>
        <v/>
      </c>
      <c r="AJ15">
        <f>IF(AJ16=Model_Assumptions!$C$8 +1, $D$7, IF(AJ16 = Model_Assumptions!$B$8+1, $E$7, ""))</f>
        <v/>
      </c>
      <c r="AK15">
        <f>IF(AK16=Model_Assumptions!$C$8 +1, $D$7, IF(AK16 = Model_Assumptions!$B$8+1, $E$7, ""))</f>
        <v/>
      </c>
      <c r="AL15">
        <f>IF(AL16=Model_Assumptions!$C$8 +1, $D$7, IF(AL16 = Model_Assumptions!$B$8+1, $E$7, ""))</f>
        <v/>
      </c>
      <c r="AM15">
        <f>IF(AM16=Model_Assumptions!$C$8 +1, $D$7, IF(AM16 = Model_Assumptions!$B$8+1, $E$7, ""))</f>
        <v/>
      </c>
      <c r="AN15">
        <f>IF(AN16=Model_Assumptions!$C$8 +1, $D$7, IF(AN16 = Model_Assumptions!$B$8+1, $E$7, ""))</f>
        <v/>
      </c>
      <c r="AO15">
        <f>IF(AO16=Model_Assumptions!$C$8 +1, $D$7, IF(AO16 = Model_Assumptions!$B$8+1, $E$7, ""))</f>
        <v/>
      </c>
      <c r="AP15">
        <f>IF(AP16=Model_Assumptions!$C$8 +1, $D$7, IF(AP16 = Model_Assumptions!$B$8+1, $E$7, ""))</f>
        <v/>
      </c>
      <c r="AQ15">
        <f>IF(AQ16=Model_Assumptions!$C$8 +1, $D$7, IF(AQ16 = Model_Assumptions!$B$8+1, $E$7, ""))</f>
        <v/>
      </c>
      <c r="AR15">
        <f>IF(AR16=Model_Assumptions!$C$8 +1, $D$7, IF(AR16 = Model_Assumptions!$B$8+1, $E$7, ""))</f>
        <v/>
      </c>
      <c r="AS15">
        <f>IF(AS16=Model_Assumptions!$C$8 +1, $D$7, IF(AS16 = Model_Assumptions!$B$8+1, $E$7, ""))</f>
        <v/>
      </c>
      <c r="AT15">
        <f>IF(AT16=Model_Assumptions!$C$8 +1, $D$7, IF(AT16 = Model_Assumptions!$B$8+1, $E$7, ""))</f>
        <v/>
      </c>
      <c r="AU15">
        <f>IF(AU16=Model_Assumptions!$C$8 +1, $D$7, IF(AU16 = Model_Assumptions!$B$8+1, $E$7, ""))</f>
        <v/>
      </c>
      <c r="AV15">
        <f>IF(AV16=Model_Assumptions!$C$8 +1, $D$7, IF(AV16 = Model_Assumptions!$B$8+1, $E$7, ""))</f>
        <v/>
      </c>
      <c r="AW15">
        <f>IF(AW16=Model_Assumptions!$C$8 +1, $D$7, IF(AW16 = Model_Assumptions!$B$8+1, $E$7, ""))</f>
        <v/>
      </c>
      <c r="AX15">
        <f>IF(AX16=Model_Assumptions!$C$8 +1, $D$7, IF(AX16 = Model_Assumptions!$B$8+1, $E$7, ""))</f>
        <v/>
      </c>
      <c r="AY15">
        <f>IF(AY16=Model_Assumptions!$C$8 +1, $D$7, IF(AY16 = Model_Assumptions!$B$8+1, $E$7, ""))</f>
        <v/>
      </c>
      <c r="AZ15">
        <f>IF(AZ16=Model_Assumptions!$C$8 +1, $D$7, IF(AZ16 = Model_Assumptions!$B$8+1, $E$7, ""))</f>
        <v/>
      </c>
      <c r="BA15">
        <f>IF(BA16=Model_Assumptions!$C$8 +1, $D$7, IF(BA16 = Model_Assumptions!$B$8+1, $E$7, ""))</f>
        <v/>
      </c>
      <c r="BB15">
        <f>IF(BB16=Model_Assumptions!$C$8 +1, $D$7, IF(BB16 = Model_Assumptions!$B$8+1, $E$7, ""))</f>
        <v/>
      </c>
      <c r="BC15">
        <f>IF(BC16=Model_Assumptions!$C$8 +1, $D$7, IF(BC16 = Model_Assumptions!$B$8+1, $E$7, ""))</f>
        <v/>
      </c>
      <c r="BD15">
        <f>IF(BD16=Model_Assumptions!$C$8 +1, $D$7, IF(BD16 = Model_Assumptions!$B$8+1, $E$7, ""))</f>
        <v/>
      </c>
      <c r="BE15">
        <f>IF(BE16=Model_Assumptions!$C$8 +1, $D$7, IF(BE16 = Model_Assumptions!$B$8+1, $E$7, ""))</f>
        <v/>
      </c>
      <c r="BF15">
        <f>IF(BF16=Model_Assumptions!$C$8 +1, $D$7, IF(BF16 = Model_Assumptions!$B$8+1, $E$7, ""))</f>
        <v/>
      </c>
      <c r="BG15">
        <f>IF(BG16=Model_Assumptions!$C$8 +1, $D$7, IF(BG16 = Model_Assumptions!$B$8+1, $E$7, ""))</f>
        <v/>
      </c>
      <c r="BH15">
        <f>IF(BH16=Model_Assumptions!$C$8 +1, $D$7, IF(BH16 = Model_Assumptions!$B$8+1, $E$7, ""))</f>
        <v/>
      </c>
      <c r="BI15">
        <f>IF(BI16=Model_Assumptions!$C$8 +1, $D$7, IF(BI16 = Model_Assumptions!$B$8+1, $E$7, ""))</f>
        <v/>
      </c>
      <c r="BJ15">
        <f>IF(BJ16=Model_Assumptions!$C$8 +1, $D$7, IF(BJ16 = Model_Assumptions!$B$8+1, $E$7, ""))</f>
        <v/>
      </c>
      <c r="BK15">
        <f>IF(BK16=Model_Assumptions!$C$8 +1, $D$7, IF(BK16 = Model_Assumptions!$B$8+1, $E$7, ""))</f>
        <v/>
      </c>
      <c r="BL15">
        <f>IF(BL16=Model_Assumptions!$C$8 +1, $D$7, IF(BL16 = Model_Assumptions!$B$8+1, $E$7, ""))</f>
        <v/>
      </c>
      <c r="BM15">
        <f>IF(BM16=Model_Assumptions!$C$8 +1, $D$7, IF(BM16 = Model_Assumptions!$B$8+1, $E$7, ""))</f>
        <v/>
      </c>
      <c r="BN15">
        <f>IF(BN16=Model_Assumptions!$C$8 +1, $D$7, IF(BN16 = Model_Assumptions!$B$8+1, $E$7, ""))</f>
        <v/>
      </c>
      <c r="BO15">
        <f>IF(BO16=Model_Assumptions!$C$8 +1, $D$7, IF(BO16 = Model_Assumptions!$B$8+1, $E$7, ""))</f>
        <v/>
      </c>
      <c r="BP15">
        <f>IF(BP16=Model_Assumptions!$C$8 +1, $D$7, IF(BP16 = Model_Assumptions!$B$8+1, $E$7, ""))</f>
        <v/>
      </c>
      <c r="BQ15">
        <f>IF(BQ16=Model_Assumptions!$C$8 +1, $D$7, IF(BQ16 = Model_Assumptions!$B$8+1, $E$7, ""))</f>
        <v/>
      </c>
      <c r="BR15">
        <f>IF(BR16=Model_Assumptions!$C$8 +1, $D$7, IF(BR16 = Model_Assumptions!$B$8+1, $E$7, ""))</f>
        <v/>
      </c>
      <c r="BS15">
        <f>IF(BS16=Model_Assumptions!$C$8 +1, $D$7, IF(BS16 = Model_Assumptions!$B$8+1, $E$7, ""))</f>
        <v/>
      </c>
      <c r="BT15">
        <f>IF(BT16=Model_Assumptions!$C$8 +1, $D$7, IF(BT16 = Model_Assumptions!$B$8+1, $E$7, ""))</f>
        <v/>
      </c>
      <c r="BU15">
        <f>IF(BU16=Model_Assumptions!$C$8 +1, $D$7, IF(BU16 = Model_Assumptions!$B$8+1, $E$7, ""))</f>
        <v/>
      </c>
      <c r="BV15">
        <f>IF(BV16=Model_Assumptions!$C$8 +1, $D$7, IF(BV16 = Model_Assumptions!$B$8+1, $E$7, ""))</f>
        <v/>
      </c>
      <c r="BW15">
        <f>IF(BW16=Model_Assumptions!$C$8 +1, $D$7, IF(BW16 = Model_Assumptions!$B$8+1, $E$7, ""))</f>
        <v/>
      </c>
      <c r="BX15">
        <f>IF(BX16=Model_Assumptions!$C$8 +1, $D$7, IF(BX16 = Model_Assumptions!$B$8+1, $E$7, ""))</f>
        <v/>
      </c>
      <c r="BY15">
        <f>IF(BY16=Model_Assumptions!$C$8 +1, $D$7, IF(BY16 = Model_Assumptions!$B$8+1, $E$7, ""))</f>
        <v/>
      </c>
      <c r="BZ15">
        <f>IF(BZ16=Model_Assumptions!$C$8 +1, $D$7, IF(BZ16 = Model_Assumptions!$B$8+1, $E$7, ""))</f>
        <v/>
      </c>
      <c r="CA15">
        <f>IF(CA16=Model_Assumptions!$C$8 +1, $D$7, IF(CA16 = Model_Assumptions!$B$8+1, $E$7, ""))</f>
        <v/>
      </c>
      <c r="CB15">
        <f>IF(CB16=Model_Assumptions!$C$8 +1, $D$7, IF(CB16 = Model_Assumptions!$B$8+1, $E$7, ""))</f>
        <v/>
      </c>
      <c r="CC15">
        <f>IF(CC16=Model_Assumptions!$C$8 +1, $D$7, IF(CC16 = Model_Assumptions!$B$8+1, $E$7, ""))</f>
        <v/>
      </c>
      <c r="CD15">
        <f>IF(CD16=Model_Assumptions!$C$8 +1, $D$7, IF(CD16 = Model_Assumptions!$B$8+1, $E$7, ""))</f>
        <v/>
      </c>
      <c r="CE15">
        <f>IF(CE16=Model_Assumptions!$C$8 +1, $D$7, IF(CE16 = Model_Assumptions!$B$8+1, $E$7, ""))</f>
        <v/>
      </c>
      <c r="CF15">
        <f>IF(CF16=Model_Assumptions!$C$8 +1, $D$7, IF(CF16 = Model_Assumptions!$B$8+1, $E$7, ""))</f>
        <v/>
      </c>
      <c r="CG15">
        <f>IF(CG16=Model_Assumptions!$C$8 +1, $D$7, IF(CG16 = Model_Assumptions!$B$8+1, $E$7, ""))</f>
        <v/>
      </c>
      <c r="CH15">
        <f>IF(CH16=Model_Assumptions!$C$8 +1, $D$7, IF(CH16 = Model_Assumptions!$B$8+1, $E$7, ""))</f>
        <v/>
      </c>
      <c r="CI15">
        <f>IF(CI16=Model_Assumptions!$C$8 +1, $D$7, IF(CI16 = Model_Assumptions!$B$8+1, $E$7, ""))</f>
        <v/>
      </c>
      <c r="CJ15">
        <f>IF(CJ16=Model_Assumptions!$C$8 +1, $D$7, IF(CJ16 = Model_Assumptions!$B$8+1, $E$7, ""))</f>
        <v/>
      </c>
      <c r="CK15">
        <f>IF(CK16=Model_Assumptions!$C$8 +1, $D$7, IF(CK16 = Model_Assumptions!$B$8+1, $E$7, ""))</f>
        <v/>
      </c>
      <c r="CL15">
        <f>IF(CL16=Model_Assumptions!$C$8 +1, $D$7, IF(CL16 = Model_Assumptions!$B$8+1, $E$7, ""))</f>
        <v/>
      </c>
      <c r="CM15">
        <f>IF(CM16=Model_Assumptions!$C$8 +1, $D$7, IF(CM16 = Model_Assumptions!$B$8+1, $E$7, ""))</f>
        <v/>
      </c>
    </row>
    <row r="16">
      <c r="B16" s="5" t="inlineStr">
        <is>
          <t>Year</t>
        </is>
      </c>
      <c r="C16" s="12">
        <f>0</f>
        <v/>
      </c>
      <c r="D16" s="13">
        <f>IF(C16&lt;'Model_Assumptions'!$B$8+1,C16+1, "")</f>
        <v/>
      </c>
      <c r="E16" s="13">
        <f>IF(D16&lt;'Model_Assumptions'!$B$8+1,D16+1, "")</f>
        <v/>
      </c>
      <c r="F16" s="13">
        <f>IF(E16&lt;'Model_Assumptions'!$B$8+1,E16+1, "")</f>
        <v/>
      </c>
      <c r="G16" s="13">
        <f>IF(F16&lt;'Model_Assumptions'!$B$8+1,F16+1, "")</f>
        <v/>
      </c>
      <c r="H16" s="13">
        <f>IF(G16&lt;'Model_Assumptions'!$B$8+1,G16+1, "")</f>
        <v/>
      </c>
      <c r="I16" s="13">
        <f>IF(H16&lt;'Model_Assumptions'!$B$8+1,H16+1, "")</f>
        <v/>
      </c>
      <c r="J16" s="13">
        <f>IF(I16&lt;'Model_Assumptions'!$B$8+1,I16+1, "")</f>
        <v/>
      </c>
      <c r="K16" s="13">
        <f>IF(J16&lt;'Model_Assumptions'!$B$8+1,J16+1, "")</f>
        <v/>
      </c>
      <c r="L16" s="13">
        <f>IF(K16&lt;'Model_Assumptions'!$B$8+1,K16+1, "")</f>
        <v/>
      </c>
      <c r="M16" s="13">
        <f>IF(L16&lt;'Model_Assumptions'!$B$8+1,L16+1, "")</f>
        <v/>
      </c>
      <c r="N16" s="13">
        <f>IF(M16&lt;'Model_Assumptions'!$B$8+1,M16+1, "")</f>
        <v/>
      </c>
      <c r="O16" s="13">
        <f>IF(N16&lt;'Model_Assumptions'!$B$8+1,N16+1, "")</f>
        <v/>
      </c>
      <c r="P16" s="13">
        <f>IF(O16&lt;'Model_Assumptions'!$B$8+1,O16+1, "")</f>
        <v/>
      </c>
      <c r="Q16" s="13">
        <f>IF(P16&lt;'Model_Assumptions'!$B$8+1,P16+1, "")</f>
        <v/>
      </c>
      <c r="R16" s="13">
        <f>IF(Q16&lt;'Model_Assumptions'!$B$8+1,Q16+1, "")</f>
        <v/>
      </c>
      <c r="S16" s="13">
        <f>IF(R16&lt;'Model_Assumptions'!$B$8+1,R16+1, "")</f>
        <v/>
      </c>
      <c r="T16" s="13">
        <f>IF(S16&lt;'Model_Assumptions'!$B$8+1,S16+1, "")</f>
        <v/>
      </c>
      <c r="U16" s="13">
        <f>IF(T16&lt;'Model_Assumptions'!$B$8+1,T16+1, "")</f>
        <v/>
      </c>
      <c r="V16" s="13">
        <f>IF(U16&lt;'Model_Assumptions'!$B$8+1,U16+1, "")</f>
        <v/>
      </c>
      <c r="W16" s="13">
        <f>IF(V16&lt;'Model_Assumptions'!$B$8+1,V16+1, "")</f>
        <v/>
      </c>
      <c r="X16" s="13">
        <f>IF(W16&lt;'Model_Assumptions'!$B$8+1,W16+1, "")</f>
        <v/>
      </c>
      <c r="Y16" s="13">
        <f>IF(X16&lt;'Model_Assumptions'!$B$8+1,X16+1, "")</f>
        <v/>
      </c>
      <c r="Z16" s="13">
        <f>IF(Y16&lt;'Model_Assumptions'!$B$8+1,Y16+1, "")</f>
        <v/>
      </c>
      <c r="AA16" s="13">
        <f>IF(Z16&lt;'Model_Assumptions'!$B$8+1,Z16+1, "")</f>
        <v/>
      </c>
      <c r="AB16" s="13">
        <f>IF(AA16&lt;'Model_Assumptions'!$B$8+1,AA16+1, "")</f>
        <v/>
      </c>
      <c r="AC16" s="13">
        <f>IF(AB16&lt;'Model_Assumptions'!$B$8+1,AB16+1, "")</f>
        <v/>
      </c>
      <c r="AD16" s="13">
        <f>IF(AC16&lt;'Model_Assumptions'!$B$8+1,AC16+1, "")</f>
        <v/>
      </c>
      <c r="AE16" s="13">
        <f>IF(AD16&lt;'Model_Assumptions'!$B$8+1,AD16+1, "")</f>
        <v/>
      </c>
      <c r="AF16" s="13">
        <f>IF(AE16&lt;'Model_Assumptions'!$B$8+1,AE16+1, "")</f>
        <v/>
      </c>
      <c r="AG16" s="13">
        <f>IF(AF16&lt;'Model_Assumptions'!$B$8+1,AF16+1, "")</f>
        <v/>
      </c>
      <c r="AH16" s="13">
        <f>IF(AG16&lt;'Model_Assumptions'!$B$8+1,AG16+1, "")</f>
        <v/>
      </c>
      <c r="AI16" s="13">
        <f>IF(AH16&lt;'Model_Assumptions'!$B$8+1,AH16+1, "")</f>
        <v/>
      </c>
      <c r="AJ16" s="13">
        <f>IF(AI16&lt;'Model_Assumptions'!$B$8+1,AI16+1, "")</f>
        <v/>
      </c>
      <c r="AK16" s="13">
        <f>IF(AJ16&lt;'Model_Assumptions'!$B$8+1,AJ16+1, "")</f>
        <v/>
      </c>
      <c r="AL16" s="13">
        <f>IF(AK16&lt;'Model_Assumptions'!$B$8+1,AK16+1, "")</f>
        <v/>
      </c>
      <c r="AM16" s="13">
        <f>IF(AL16&lt;'Model_Assumptions'!$B$8+1,AL16+1, "")</f>
        <v/>
      </c>
      <c r="AN16" s="13">
        <f>IF(AM16&lt;'Model_Assumptions'!$B$8+1,AM16+1, "")</f>
        <v/>
      </c>
      <c r="AO16" s="13">
        <f>IF(AN16&lt;'Model_Assumptions'!$B$8+1,AN16+1, "")</f>
        <v/>
      </c>
      <c r="AP16" s="13">
        <f>IF(AO16&lt;'Model_Assumptions'!$B$8+1,AO16+1, "")</f>
        <v/>
      </c>
      <c r="AQ16" s="13">
        <f>IF(AP16&lt;'Model_Assumptions'!$B$8+1,AP16+1, "")</f>
        <v/>
      </c>
      <c r="AR16" s="13">
        <f>IF(AQ16&lt;'Model_Assumptions'!$B$8+1,AQ16+1, "")</f>
        <v/>
      </c>
      <c r="AS16" s="13">
        <f>IF(AR16&lt;'Model_Assumptions'!$B$8+1,AR16+1, "")</f>
        <v/>
      </c>
      <c r="AT16" s="13">
        <f>IF(AS16&lt;'Model_Assumptions'!$B$8+1,AS16+1, "")</f>
        <v/>
      </c>
      <c r="AU16" s="13">
        <f>IF(AT16&lt;'Model_Assumptions'!$B$8+1,AT16+1, "")</f>
        <v/>
      </c>
      <c r="AV16" s="13">
        <f>IF(AU16&lt;'Model_Assumptions'!$B$8+1,AU16+1, "")</f>
        <v/>
      </c>
      <c r="AW16" s="13">
        <f>IF(AV16&lt;'Model_Assumptions'!$B$8+1,AV16+1, "")</f>
        <v/>
      </c>
      <c r="AX16" s="13">
        <f>IF(AW16&lt;'Model_Assumptions'!$B$8+1,AW16+1, "")</f>
        <v/>
      </c>
      <c r="AY16" s="13">
        <f>IF(AX16&lt;'Model_Assumptions'!$B$8+1,AX16+1, "")</f>
        <v/>
      </c>
      <c r="AZ16" s="13">
        <f>IF(AY16&lt;'Model_Assumptions'!$B$8+1,AY16+1, "")</f>
        <v/>
      </c>
      <c r="BA16" s="13">
        <f>IF(AZ16&lt;'Model_Assumptions'!$B$8+1,AZ16+1, "")</f>
        <v/>
      </c>
      <c r="BB16" s="13">
        <f>IF(BA16&lt;'Model_Assumptions'!$B$8+1,BA16+1, "")</f>
        <v/>
      </c>
      <c r="BC16" s="13">
        <f>IF(BB16&lt;'Model_Assumptions'!$B$8+1,BB16+1, "")</f>
        <v/>
      </c>
      <c r="BD16" s="13">
        <f>IF(BC16&lt;'Model_Assumptions'!$B$8+1,BC16+1, "")</f>
        <v/>
      </c>
      <c r="BE16" s="13">
        <f>IF(BD16&lt;'Model_Assumptions'!$B$8+1,BD16+1, "")</f>
        <v/>
      </c>
      <c r="BF16" s="13">
        <f>IF(BE16&lt;'Model_Assumptions'!$B$8+1,BE16+1, "")</f>
        <v/>
      </c>
      <c r="BG16" s="13">
        <f>IF(BF16&lt;'Model_Assumptions'!$B$8+1,BF16+1, "")</f>
        <v/>
      </c>
      <c r="BH16" s="13">
        <f>IF(BG16&lt;'Model_Assumptions'!$B$8+1,BG16+1, "")</f>
        <v/>
      </c>
      <c r="BI16" s="13">
        <f>IF(BH16&lt;'Model_Assumptions'!$B$8+1,BH16+1, "")</f>
        <v/>
      </c>
      <c r="BJ16" s="13">
        <f>IF(BI16&lt;'Model_Assumptions'!$B$8+1,BI16+1, "")</f>
        <v/>
      </c>
      <c r="BK16" s="13">
        <f>IF(BJ16&lt;'Model_Assumptions'!$B$8+1,BJ16+1, "")</f>
        <v/>
      </c>
      <c r="BL16" s="13">
        <f>IF(BK16&lt;'Model_Assumptions'!$B$8+1,BK16+1, "")</f>
        <v/>
      </c>
      <c r="BM16" s="13">
        <f>IF(BL16&lt;'Model_Assumptions'!$B$8+1,BL16+1, "")</f>
        <v/>
      </c>
      <c r="BN16" s="13">
        <f>IF(BM16&lt;'Model_Assumptions'!$B$8+1,BM16+1, "")</f>
        <v/>
      </c>
      <c r="BO16" s="13">
        <f>IF(BN16&lt;'Model_Assumptions'!$B$8+1,BN16+1, "")</f>
        <v/>
      </c>
      <c r="BP16" s="13">
        <f>IF(BO16&lt;'Model_Assumptions'!$B$8+1,BO16+1, "")</f>
        <v/>
      </c>
      <c r="BQ16" s="13">
        <f>IF(BP16&lt;'Model_Assumptions'!$B$8+1,BP16+1, "")</f>
        <v/>
      </c>
      <c r="BR16" s="13">
        <f>IF(BQ16&lt;'Model_Assumptions'!$B$8+1,BQ16+1, "")</f>
        <v/>
      </c>
      <c r="BS16" s="13">
        <f>IF(BR16&lt;'Model_Assumptions'!$B$8+1,BR16+1, "")</f>
        <v/>
      </c>
      <c r="BT16" s="13">
        <f>IF(BS16&lt;'Model_Assumptions'!$B$8+1,BS16+1, "")</f>
        <v/>
      </c>
      <c r="BU16" s="13">
        <f>IF(BT16&lt;'Model_Assumptions'!$B$8+1,BT16+1, "")</f>
        <v/>
      </c>
      <c r="BV16" s="13">
        <f>IF(BU16&lt;'Model_Assumptions'!$B$8+1,BU16+1, "")</f>
        <v/>
      </c>
      <c r="BW16" s="13">
        <f>IF(BV16&lt;'Model_Assumptions'!$B$8+1,BV16+1, "")</f>
        <v/>
      </c>
      <c r="BX16" s="13">
        <f>IF(BW16&lt;'Model_Assumptions'!$B$8+1,BW16+1, "")</f>
        <v/>
      </c>
      <c r="BY16" s="13">
        <f>IF(BX16&lt;'Model_Assumptions'!$B$8+1,BX16+1, "")</f>
        <v/>
      </c>
      <c r="BZ16" s="13">
        <f>IF(BY16&lt;'Model_Assumptions'!$B$8+1,BY16+1, "")</f>
        <v/>
      </c>
      <c r="CA16" s="13">
        <f>IF(BZ16&lt;'Model_Assumptions'!$B$8+1,BZ16+1, "")</f>
        <v/>
      </c>
      <c r="CB16" s="13">
        <f>IF(CA16&lt;'Model_Assumptions'!$B$8+1,CA16+1, "")</f>
        <v/>
      </c>
      <c r="CC16" s="13">
        <f>IF(CB16&lt;'Model_Assumptions'!$B$8+1,CB16+1, "")</f>
        <v/>
      </c>
      <c r="CD16" s="13">
        <f>IF(CC16&lt;'Model_Assumptions'!$B$8+1,CC16+1, "")</f>
        <v/>
      </c>
      <c r="CE16" s="13">
        <f>IF(CD16&lt;'Model_Assumptions'!$B$8+1,CD16+1, "")</f>
        <v/>
      </c>
      <c r="CF16" s="13">
        <f>IF(CE16&lt;'Model_Assumptions'!$B$8+1,CE16+1, "")</f>
        <v/>
      </c>
      <c r="CG16" s="13">
        <f>IF(CF16&lt;'Model_Assumptions'!$B$8+1,CF16+1, "")</f>
        <v/>
      </c>
      <c r="CH16" s="13">
        <f>IF(CG16&lt;'Model_Assumptions'!$B$8+1,CG16+1, "")</f>
        <v/>
      </c>
      <c r="CI16" s="13">
        <f>IF(CH16&lt;'Model_Assumptions'!$B$8+1,CH16+1, "")</f>
        <v/>
      </c>
      <c r="CJ16" s="13">
        <f>IF(CI16&lt;'Model_Assumptions'!$B$8+1,CI16+1, "")</f>
        <v/>
      </c>
      <c r="CK16" s="13">
        <f>IF(CJ16&lt;'Model_Assumptions'!$B$8+1,CJ16+1, "")</f>
        <v/>
      </c>
      <c r="CL16" s="13">
        <f>IF(CK16&lt;'Model_Assumptions'!$B$8+1,CK16+1, "")</f>
        <v/>
      </c>
      <c r="CM16" s="14">
        <f>IF(CL16&lt;'Model_Assumptions'!$B$8+1,CL16+1, "")</f>
        <v/>
      </c>
    </row>
    <row r="17">
      <c r="B17" s="15" t="inlineStr">
        <is>
          <t>Revenue</t>
        </is>
      </c>
      <c r="C17" s="16" t="n">
        <v>416161000000</v>
      </c>
      <c r="D17" s="17">
        <f>IF(D$16="","",IF(D$16=('Model_Assumptions'!$B$8 +1),C$17*(1+$E$8),IF(D$16&lt;='Model_Assumptions'!$C$8,C$17*(1+$C$8),IF(D$16&gt;=('Model_Assumptions'!$C$8+1),C$17*(1+$D$8),""))))</f>
        <v/>
      </c>
      <c r="E17" s="17">
        <f>IF(E$16="","",IF(E$16=('Model_Assumptions'!$B$8 +1),D$17*(1+$E$8),IF(E$16&lt;='Model_Assumptions'!$C$8,D$17*(1+$C$8),IF(E$16&gt;=('Model_Assumptions'!$C$8+1),D$17*(1+$D$8),""))))</f>
        <v/>
      </c>
      <c r="F17" s="17">
        <f>IF(F$16="","",IF(F$16=('Model_Assumptions'!$B$8 +1),E$17*(1+$E$8),IF(F$16&lt;='Model_Assumptions'!$C$8,E$17*(1+$C$8),IF(F$16&gt;=('Model_Assumptions'!$C$8+1),E$17*(1+$D$8),""))))</f>
        <v/>
      </c>
      <c r="G17" s="17">
        <f>IF(G$16="","",IF(G$16=('Model_Assumptions'!$B$8 +1),F$17*(1+$E$8),IF(G$16&lt;='Model_Assumptions'!$C$8,F$17*(1+$C$8),IF(G$16&gt;=('Model_Assumptions'!$C$8+1),F$17*(1+$D$8),""))))</f>
        <v/>
      </c>
      <c r="H17" s="17">
        <f>IF(H$16="","",IF(H$16=('Model_Assumptions'!$B$8 +1),G$17*(1+$E$8),IF(H$16&lt;='Model_Assumptions'!$C$8,G$17*(1+$C$8),IF(H$16&gt;=('Model_Assumptions'!$C$8+1),G$17*(1+$D$8),""))))</f>
        <v/>
      </c>
      <c r="I17" s="17">
        <f>IF(I$16="","",IF(I$16=('Model_Assumptions'!$B$8 +1),H$17*(1+$E$8),IF(I$16&lt;='Model_Assumptions'!$C$8,H$17*(1+$C$8),IF(I$16&gt;=('Model_Assumptions'!$C$8+1),H$17*(1+$D$8),""))))</f>
        <v/>
      </c>
      <c r="J17" s="17">
        <f>IF(J$16="","",IF(J$16=('Model_Assumptions'!$B$8 +1),I$17*(1+$E$8),IF(J$16&lt;='Model_Assumptions'!$C$8,I$17*(1+$C$8),IF(J$16&gt;=('Model_Assumptions'!$C$8+1),I$17*(1+$D$8),""))))</f>
        <v/>
      </c>
      <c r="K17" s="17">
        <f>IF(K$16="","",IF(K$16=('Model_Assumptions'!$B$8 +1),J$17*(1+$E$8),IF(K$16&lt;='Model_Assumptions'!$C$8,J$17*(1+$C$8),IF(K$16&gt;=('Model_Assumptions'!$C$8+1),J$17*(1+$D$8),""))))</f>
        <v/>
      </c>
      <c r="L17" s="17">
        <f>IF(L$16="","",IF(L$16=('Model_Assumptions'!$B$8 +1),K$17*(1+$E$8),IF(L$16&lt;='Model_Assumptions'!$C$8,K$17*(1+$C$8),IF(L$16&gt;=('Model_Assumptions'!$C$8+1),K$17*(1+$D$8),""))))</f>
        <v/>
      </c>
      <c r="M17" s="17">
        <f>IF(M$16="","",IF(M$16=('Model_Assumptions'!$B$8 +1),L$17*(1+$E$8),IF(M$16&lt;='Model_Assumptions'!$C$8,L$17*(1+$C$8),IF(M$16&gt;=('Model_Assumptions'!$C$8+1),L$17*(1+$D$8),""))))</f>
        <v/>
      </c>
      <c r="N17" s="17">
        <f>IF(N$16="","",IF(N$16=('Model_Assumptions'!$B$8 +1),M$17*(1+$E$8),IF(N$16&lt;='Model_Assumptions'!$C$8,M$17*(1+$C$8),IF(N$16&gt;=('Model_Assumptions'!$C$8+1),M$17*(1+$D$8),""))))</f>
        <v/>
      </c>
      <c r="O17" s="17">
        <f>IF(O$16="","",IF(O$16=('Model_Assumptions'!$B$8 +1),N$17*(1+$E$8),IF(O$16&lt;='Model_Assumptions'!$C$8,N$17*(1+$C$8),IF(O$16&gt;=('Model_Assumptions'!$C$8+1),N$17*(1+$D$8),""))))</f>
        <v/>
      </c>
      <c r="P17" s="17">
        <f>IF(P$16="","",IF(P$16=('Model_Assumptions'!$B$8 +1),O$17*(1+$E$8),IF(P$16&lt;='Model_Assumptions'!$C$8,O$17*(1+$C$8),IF(P$16&gt;=('Model_Assumptions'!$C$8+1),O$17*(1+$D$8),""))))</f>
        <v/>
      </c>
      <c r="Q17" s="17">
        <f>IF(Q$16="","",IF(Q$16=('Model_Assumptions'!$B$8 +1),P$17*(1+$E$8),IF(Q$16&lt;='Model_Assumptions'!$C$8,P$17*(1+$C$8),IF(Q$16&gt;=('Model_Assumptions'!$C$8+1),P$17*(1+$D$8),""))))</f>
        <v/>
      </c>
      <c r="R17" s="17">
        <f>IF(R$16="","",IF(R$16=('Model_Assumptions'!$B$8 +1),Q$17*(1+$E$8),IF(R$16&lt;='Model_Assumptions'!$C$8,Q$17*(1+$C$8),IF(R$16&gt;=('Model_Assumptions'!$C$8+1),Q$17*(1+$D$8),""))))</f>
        <v/>
      </c>
      <c r="S17" s="17">
        <f>IF(S$16="","",IF(S$16=('Model_Assumptions'!$B$8 +1),R$17*(1+$E$8),IF(S$16&lt;='Model_Assumptions'!$C$8,R$17*(1+$C$8),IF(S$16&gt;=('Model_Assumptions'!$C$8+1),R$17*(1+$D$8),""))))</f>
        <v/>
      </c>
      <c r="T17" s="17">
        <f>IF(T$16="","",IF(T$16=('Model_Assumptions'!$B$8 +1),S$17*(1+$E$8),IF(T$16&lt;='Model_Assumptions'!$C$8,S$17*(1+$C$8),IF(T$16&gt;=('Model_Assumptions'!$C$8+1),S$17*(1+$D$8),""))))</f>
        <v/>
      </c>
      <c r="U17" s="17">
        <f>IF(U$16="","",IF(U$16=('Model_Assumptions'!$B$8 +1),T$17*(1+$E$8),IF(U$16&lt;='Model_Assumptions'!$C$8,T$17*(1+$C$8),IF(U$16&gt;=('Model_Assumptions'!$C$8+1),T$17*(1+$D$8),""))))</f>
        <v/>
      </c>
      <c r="V17" s="17">
        <f>IF(V$16="","",IF(V$16=('Model_Assumptions'!$B$8 +1),U$17*(1+$E$8),IF(V$16&lt;='Model_Assumptions'!$C$8,U$17*(1+$C$8),IF(V$16&gt;=('Model_Assumptions'!$C$8+1),U$17*(1+$D$8),""))))</f>
        <v/>
      </c>
      <c r="W17" s="17">
        <f>IF(W$16="","",IF(W$16=('Model_Assumptions'!$B$8 +1),V$17*(1+$E$8),IF(W$16&lt;='Model_Assumptions'!$C$8,V$17*(1+$C$8),IF(W$16&gt;=('Model_Assumptions'!$C$8+1),V$17*(1+$D$8),""))))</f>
        <v/>
      </c>
      <c r="X17" s="17">
        <f>IF(X$16="","",IF(X$16=('Model_Assumptions'!$B$8 +1),W$17*(1+$E$8),IF(X$16&lt;='Model_Assumptions'!$C$8,W$17*(1+$C$8),IF(X$16&gt;=('Model_Assumptions'!$C$8+1),W$17*(1+$D$8),""))))</f>
        <v/>
      </c>
      <c r="Y17" s="17">
        <f>IF(Y$16="","",IF(Y$16=('Model_Assumptions'!$B$8 +1),X$17*(1+$E$8),IF(Y$16&lt;='Model_Assumptions'!$C$8,X$17*(1+$C$8),IF(Y$16&gt;=('Model_Assumptions'!$C$8+1),X$17*(1+$D$8),""))))</f>
        <v/>
      </c>
      <c r="Z17" s="17">
        <f>IF(Z$16="","",IF(Z$16=('Model_Assumptions'!$B$8 +1),Y$17*(1+$E$8),IF(Z$16&lt;='Model_Assumptions'!$C$8,Y$17*(1+$C$8),IF(Z$16&gt;=('Model_Assumptions'!$C$8+1),Y$17*(1+$D$8),""))))</f>
        <v/>
      </c>
      <c r="AA17" s="17">
        <f>IF(AA$16="","",IF(AA$16=('Model_Assumptions'!$B$8 +1),Z$17*(1+$E$8),IF(AA$16&lt;='Model_Assumptions'!$C$8,Z$17*(1+$C$8),IF(AA$16&gt;=('Model_Assumptions'!$C$8+1),Z$17*(1+$D$8),""))))</f>
        <v/>
      </c>
      <c r="AB17" s="17">
        <f>IF(AB$16="","",IF(AB$16=('Model_Assumptions'!$B$8 +1),AA$17*(1+$E$8),IF(AB$16&lt;='Model_Assumptions'!$C$8,AA$17*(1+$C$8),IF(AB$16&gt;=('Model_Assumptions'!$C$8+1),AA$17*(1+$D$8),""))))</f>
        <v/>
      </c>
      <c r="AC17" s="17">
        <f>IF(AC$16="","",IF(AC$16=('Model_Assumptions'!$B$8 +1),AB$17*(1+$E$8),IF(AC$16&lt;='Model_Assumptions'!$C$8,AB$17*(1+$C$8),IF(AC$16&gt;=('Model_Assumptions'!$C$8+1),AB$17*(1+$D$8),""))))</f>
        <v/>
      </c>
      <c r="AD17" s="17">
        <f>IF(AD$16="","",IF(AD$16=('Model_Assumptions'!$B$8 +1),AC$17*(1+$E$8),IF(AD$16&lt;='Model_Assumptions'!$C$8,AC$17*(1+$C$8),IF(AD$16&gt;=('Model_Assumptions'!$C$8+1),AC$17*(1+$D$8),""))))</f>
        <v/>
      </c>
      <c r="AE17" s="17">
        <f>IF(AE$16="","",IF(AE$16=('Model_Assumptions'!$B$8 +1),AD$17*(1+$E$8),IF(AE$16&lt;='Model_Assumptions'!$C$8,AD$17*(1+$C$8),IF(AE$16&gt;=('Model_Assumptions'!$C$8+1),AD$17*(1+$D$8),""))))</f>
        <v/>
      </c>
      <c r="AF17" s="17">
        <f>IF(AF$16="","",IF(AF$16=('Model_Assumptions'!$B$8 +1),AE$17*(1+$E$8),IF(AF$16&lt;='Model_Assumptions'!$C$8,AE$17*(1+$C$8),IF(AF$16&gt;=('Model_Assumptions'!$C$8+1),AE$17*(1+$D$8),""))))</f>
        <v/>
      </c>
      <c r="AG17" s="17">
        <f>IF(AG$16="","",IF(AG$16=('Model_Assumptions'!$B$8 +1),AF$17*(1+$E$8),IF(AG$16&lt;='Model_Assumptions'!$C$8,AF$17*(1+$C$8),IF(AG$16&gt;=('Model_Assumptions'!$C$8+1),AF$17*(1+$D$8),""))))</f>
        <v/>
      </c>
      <c r="AH17" s="17">
        <f>IF(AH$16="","",IF(AH$16=('Model_Assumptions'!$B$8 +1),AG$17*(1+$E$8),IF(AH$16&lt;='Model_Assumptions'!$C$8,AG$17*(1+$C$8),IF(AH$16&gt;=('Model_Assumptions'!$C$8+1),AG$17*(1+$D$8),""))))</f>
        <v/>
      </c>
      <c r="AI17" s="17">
        <f>IF(AI$16="","",IF(AI$16=('Model_Assumptions'!$B$8 +1),AH$17*(1+$E$8),IF(AI$16&lt;='Model_Assumptions'!$C$8,AH$17*(1+$C$8),IF(AI$16&gt;=('Model_Assumptions'!$C$8+1),AH$17*(1+$D$8),""))))</f>
        <v/>
      </c>
      <c r="AJ17" s="17">
        <f>IF(AJ$16="","",IF(AJ$16=('Model_Assumptions'!$B$8 +1),AI$17*(1+$E$8),IF(AJ$16&lt;='Model_Assumptions'!$C$8,AI$17*(1+$C$8),IF(AJ$16&gt;=('Model_Assumptions'!$C$8+1),AI$17*(1+$D$8),""))))</f>
        <v/>
      </c>
      <c r="AK17" s="17">
        <f>IF(AK$16="","",IF(AK$16=('Model_Assumptions'!$B$8 +1),AJ$17*(1+$E$8),IF(AK$16&lt;='Model_Assumptions'!$C$8,AJ$17*(1+$C$8),IF(AK$16&gt;=('Model_Assumptions'!$C$8+1),AJ$17*(1+$D$8),""))))</f>
        <v/>
      </c>
      <c r="AL17" s="17">
        <f>IF(AL$16="","",IF(AL$16=('Model_Assumptions'!$B$8 +1),AK$17*(1+$E$8),IF(AL$16&lt;='Model_Assumptions'!$C$8,AK$17*(1+$C$8),IF(AL$16&gt;=('Model_Assumptions'!$C$8+1),AK$17*(1+$D$8),""))))</f>
        <v/>
      </c>
      <c r="AM17" s="17">
        <f>IF(AM$16="","",IF(AM$16=('Model_Assumptions'!$B$8 +1),AL$17*(1+$E$8),IF(AM$16&lt;='Model_Assumptions'!$C$8,AL$17*(1+$C$8),IF(AM$16&gt;=('Model_Assumptions'!$C$8+1),AL$17*(1+$D$8),""))))</f>
        <v/>
      </c>
      <c r="AN17" s="17">
        <f>IF(AN$16="","",IF(AN$16=('Model_Assumptions'!$B$8 +1),AM$17*(1+$E$8),IF(AN$16&lt;='Model_Assumptions'!$C$8,AM$17*(1+$C$8),IF(AN$16&gt;=('Model_Assumptions'!$C$8+1),AM$17*(1+$D$8),""))))</f>
        <v/>
      </c>
      <c r="AO17" s="17">
        <f>IF(AO$16="","",IF(AO$16=('Model_Assumptions'!$B$8 +1),AN$17*(1+$E$8),IF(AO$16&lt;='Model_Assumptions'!$C$8,AN$17*(1+$C$8),IF(AO$16&gt;=('Model_Assumptions'!$C$8+1),AN$17*(1+$D$8),""))))</f>
        <v/>
      </c>
      <c r="AP17" s="17">
        <f>IF(AP$16="","",IF(AP$16=('Model_Assumptions'!$B$8 +1),AO$17*(1+$E$8),IF(AP$16&lt;='Model_Assumptions'!$C$8,AO$17*(1+$C$8),IF(AP$16&gt;=('Model_Assumptions'!$C$8+1),AO$17*(1+$D$8),""))))</f>
        <v/>
      </c>
      <c r="AQ17" s="17">
        <f>IF(AQ$16="","",IF(AQ$16=('Model_Assumptions'!$B$8 +1),AP$17*(1+$E$8),IF(AQ$16&lt;='Model_Assumptions'!$C$8,AP$17*(1+$C$8),IF(AQ$16&gt;=('Model_Assumptions'!$C$8+1),AP$17*(1+$D$8),""))))</f>
        <v/>
      </c>
      <c r="AR17" s="17">
        <f>IF(AR$16="","",IF(AR$16=('Model_Assumptions'!$B$8 +1),AQ$17*(1+$E$8),IF(AR$16&lt;='Model_Assumptions'!$C$8,AQ$17*(1+$C$8),IF(AR$16&gt;=('Model_Assumptions'!$C$8+1),AQ$17*(1+$D$8),""))))</f>
        <v/>
      </c>
      <c r="AS17" s="17">
        <f>IF(AS$16="","",IF(AS$16=('Model_Assumptions'!$B$8 +1),AR$17*(1+$E$8),IF(AS$16&lt;='Model_Assumptions'!$C$8,AR$17*(1+$C$8),IF(AS$16&gt;=('Model_Assumptions'!$C$8+1),AR$17*(1+$D$8),""))))</f>
        <v/>
      </c>
      <c r="AT17" s="17">
        <f>IF(AT$16="","",IF(AT$16=('Model_Assumptions'!$B$8 +1),AS$17*(1+$E$8),IF(AT$16&lt;='Model_Assumptions'!$C$8,AS$17*(1+$C$8),IF(AT$16&gt;=('Model_Assumptions'!$C$8+1),AS$17*(1+$D$8),""))))</f>
        <v/>
      </c>
      <c r="AU17" s="17">
        <f>IF(AU$16="","",IF(AU$16=('Model_Assumptions'!$B$8 +1),AT$17*(1+$E$8),IF(AU$16&lt;='Model_Assumptions'!$C$8,AT$17*(1+$C$8),IF(AU$16&gt;=('Model_Assumptions'!$C$8+1),AT$17*(1+$D$8),""))))</f>
        <v/>
      </c>
      <c r="AV17" s="17">
        <f>IF(AV$16="","",IF(AV$16=('Model_Assumptions'!$B$8 +1),AU$17*(1+$E$8),IF(AV$16&lt;='Model_Assumptions'!$C$8,AU$17*(1+$C$8),IF(AV$16&gt;=('Model_Assumptions'!$C$8+1),AU$17*(1+$D$8),""))))</f>
        <v/>
      </c>
      <c r="AW17" s="17">
        <f>IF(AW$16="","",IF(AW$16=('Model_Assumptions'!$B$8 +1),AV$17*(1+$E$8),IF(AW$16&lt;='Model_Assumptions'!$C$8,AV$17*(1+$C$8),IF(AW$16&gt;=('Model_Assumptions'!$C$8+1),AV$17*(1+$D$8),""))))</f>
        <v/>
      </c>
      <c r="AX17" s="17">
        <f>IF(AX$16="","",IF(AX$16=('Model_Assumptions'!$B$8 +1),AW$17*(1+$E$8),IF(AX$16&lt;='Model_Assumptions'!$C$8,AW$17*(1+$C$8),IF(AX$16&gt;=('Model_Assumptions'!$C$8+1),AW$17*(1+$D$8),""))))</f>
        <v/>
      </c>
      <c r="AY17" s="17">
        <f>IF(AY$16="","",IF(AY$16=('Model_Assumptions'!$B$8 +1),AX$17*(1+$E$8),IF(AY$16&lt;='Model_Assumptions'!$C$8,AX$17*(1+$C$8),IF(AY$16&gt;=('Model_Assumptions'!$C$8+1),AX$17*(1+$D$8),""))))</f>
        <v/>
      </c>
      <c r="AZ17" s="17">
        <f>IF(AZ$16="","",IF(AZ$16=('Model_Assumptions'!$B$8 +1),AY$17*(1+$E$8),IF(AZ$16&lt;='Model_Assumptions'!$C$8,AY$17*(1+$C$8),IF(AZ$16&gt;=('Model_Assumptions'!$C$8+1),AY$17*(1+$D$8),""))))</f>
        <v/>
      </c>
      <c r="BA17" s="17">
        <f>IF(BA$16="","",IF(BA$16=('Model_Assumptions'!$B$8 +1),AZ$17*(1+$E$8),IF(BA$16&lt;='Model_Assumptions'!$C$8,AZ$17*(1+$C$8),IF(BA$16&gt;=('Model_Assumptions'!$C$8+1),AZ$17*(1+$D$8),""))))</f>
        <v/>
      </c>
      <c r="BB17" s="17">
        <f>IF(BB$16="","",IF(BB$16=('Model_Assumptions'!$B$8 +1),BA$17*(1+$E$8),IF(BB$16&lt;='Model_Assumptions'!$C$8,BA$17*(1+$C$8),IF(BB$16&gt;=('Model_Assumptions'!$C$8+1),BA$17*(1+$D$8),""))))</f>
        <v/>
      </c>
      <c r="BC17" s="17">
        <f>IF(BC$16="","",IF(BC$16=('Model_Assumptions'!$B$8 +1),BB$17*(1+$E$8),IF(BC$16&lt;='Model_Assumptions'!$C$8,BB$17*(1+$C$8),IF(BC$16&gt;=('Model_Assumptions'!$C$8+1),BB$17*(1+$D$8),""))))</f>
        <v/>
      </c>
      <c r="BD17" s="17">
        <f>IF(BD$16="","",IF(BD$16=('Model_Assumptions'!$B$8 +1),BC$17*(1+$E$8),IF(BD$16&lt;='Model_Assumptions'!$C$8,BC$17*(1+$C$8),IF(BD$16&gt;=('Model_Assumptions'!$C$8+1),BC$17*(1+$D$8),""))))</f>
        <v/>
      </c>
      <c r="BE17" s="17">
        <f>IF(BE$16="","",IF(BE$16=('Model_Assumptions'!$B$8 +1),BD$17*(1+$E$8),IF(BE$16&lt;='Model_Assumptions'!$C$8,BD$17*(1+$C$8),IF(BE$16&gt;=('Model_Assumptions'!$C$8+1),BD$17*(1+$D$8),""))))</f>
        <v/>
      </c>
      <c r="BF17" s="17">
        <f>IF(BF$16="","",IF(BF$16=('Model_Assumptions'!$B$8 +1),BE$17*(1+$E$8),IF(BF$16&lt;='Model_Assumptions'!$C$8,BE$17*(1+$C$8),IF(BF$16&gt;=('Model_Assumptions'!$C$8+1),BE$17*(1+$D$8),""))))</f>
        <v/>
      </c>
      <c r="BG17" s="17">
        <f>IF(BG$16="","",IF(BG$16=('Model_Assumptions'!$B$8 +1),BF$17*(1+$E$8),IF(BG$16&lt;='Model_Assumptions'!$C$8,BF$17*(1+$C$8),IF(BG$16&gt;=('Model_Assumptions'!$C$8+1),BF$17*(1+$D$8),""))))</f>
        <v/>
      </c>
      <c r="BH17" s="17">
        <f>IF(BH$16="","",IF(BH$16=('Model_Assumptions'!$B$8 +1),BG$17*(1+$E$8),IF(BH$16&lt;='Model_Assumptions'!$C$8,BG$17*(1+$C$8),IF(BH$16&gt;=('Model_Assumptions'!$C$8+1),BG$17*(1+$D$8),""))))</f>
        <v/>
      </c>
      <c r="BI17" s="17">
        <f>IF(BI$16="","",IF(BI$16=('Model_Assumptions'!$B$8 +1),BH$17*(1+$E$8),IF(BI$16&lt;='Model_Assumptions'!$C$8,BH$17*(1+$C$8),IF(BI$16&gt;=('Model_Assumptions'!$C$8+1),BH$17*(1+$D$8),""))))</f>
        <v/>
      </c>
      <c r="BJ17" s="17">
        <f>IF(BJ$16="","",IF(BJ$16=('Model_Assumptions'!$B$8 +1),BI$17*(1+$E$8),IF(BJ$16&lt;='Model_Assumptions'!$C$8,BI$17*(1+$C$8),IF(BJ$16&gt;=('Model_Assumptions'!$C$8+1),BI$17*(1+$D$8),""))))</f>
        <v/>
      </c>
      <c r="BK17" s="17">
        <f>IF(BK$16="","",IF(BK$16=('Model_Assumptions'!$B$8 +1),BJ$17*(1+$E$8),IF(BK$16&lt;='Model_Assumptions'!$C$8,BJ$17*(1+$C$8),IF(BK$16&gt;=('Model_Assumptions'!$C$8+1),BJ$17*(1+$D$8),""))))</f>
        <v/>
      </c>
      <c r="BL17" s="17">
        <f>IF(BL$16="","",IF(BL$16=('Model_Assumptions'!$B$8 +1),BK$17*(1+$E$8),IF(BL$16&lt;='Model_Assumptions'!$C$8,BK$17*(1+$C$8),IF(BL$16&gt;=('Model_Assumptions'!$C$8+1),BK$17*(1+$D$8),""))))</f>
        <v/>
      </c>
      <c r="BM17" s="17">
        <f>IF(BM$16="","",IF(BM$16=('Model_Assumptions'!$B$8 +1),BL$17*(1+$E$8),IF(BM$16&lt;='Model_Assumptions'!$C$8,BL$17*(1+$C$8),IF(BM$16&gt;=('Model_Assumptions'!$C$8+1),BL$17*(1+$D$8),""))))</f>
        <v/>
      </c>
      <c r="BN17" s="17">
        <f>IF(BN$16="","",IF(BN$16=('Model_Assumptions'!$B$8 +1),BM$17*(1+$E$8),IF(BN$16&lt;='Model_Assumptions'!$C$8,BM$17*(1+$C$8),IF(BN$16&gt;=('Model_Assumptions'!$C$8+1),BM$17*(1+$D$8),""))))</f>
        <v/>
      </c>
      <c r="BO17" s="17">
        <f>IF(BO$16="","",IF(BO$16=('Model_Assumptions'!$B$8 +1),BN$17*(1+$E$8),IF(BO$16&lt;='Model_Assumptions'!$C$8,BN$17*(1+$C$8),IF(BO$16&gt;=('Model_Assumptions'!$C$8+1),BN$17*(1+$D$8),""))))</f>
        <v/>
      </c>
      <c r="BP17" s="17">
        <f>IF(BP$16="","",IF(BP$16=('Model_Assumptions'!$B$8 +1),BO$17*(1+$E$8),IF(BP$16&lt;='Model_Assumptions'!$C$8,BO$17*(1+$C$8),IF(BP$16&gt;=('Model_Assumptions'!$C$8+1),BO$17*(1+$D$8),""))))</f>
        <v/>
      </c>
      <c r="BQ17" s="17">
        <f>IF(BQ$16="","",IF(BQ$16=('Model_Assumptions'!$B$8 +1),BP$17*(1+$E$8),IF(BQ$16&lt;='Model_Assumptions'!$C$8,BP$17*(1+$C$8),IF(BQ$16&gt;=('Model_Assumptions'!$C$8+1),BP$17*(1+$D$8),""))))</f>
        <v/>
      </c>
      <c r="BR17" s="17">
        <f>IF(BR$16="","",IF(BR$16=('Model_Assumptions'!$B$8 +1),BQ$17*(1+$E$8),IF(BR$16&lt;='Model_Assumptions'!$C$8,BQ$17*(1+$C$8),IF(BR$16&gt;=('Model_Assumptions'!$C$8+1),BQ$17*(1+$D$8),""))))</f>
        <v/>
      </c>
      <c r="BS17" s="17">
        <f>IF(BS$16="","",IF(BS$16=('Model_Assumptions'!$B$8 +1),BR$17*(1+$E$8),IF(BS$16&lt;='Model_Assumptions'!$C$8,BR$17*(1+$C$8),IF(BS$16&gt;=('Model_Assumptions'!$C$8+1),BR$17*(1+$D$8),""))))</f>
        <v/>
      </c>
      <c r="BT17" s="17">
        <f>IF(BT$16="","",IF(BT$16=('Model_Assumptions'!$B$8 +1),BS$17*(1+$E$8),IF(BT$16&lt;='Model_Assumptions'!$C$8,BS$17*(1+$C$8),IF(BT$16&gt;=('Model_Assumptions'!$C$8+1),BS$17*(1+$D$8),""))))</f>
        <v/>
      </c>
      <c r="BU17" s="17">
        <f>IF(BU$16="","",IF(BU$16=('Model_Assumptions'!$B$8 +1),BT$17*(1+$E$8),IF(BU$16&lt;='Model_Assumptions'!$C$8,BT$17*(1+$C$8),IF(BU$16&gt;=('Model_Assumptions'!$C$8+1),BT$17*(1+$D$8),""))))</f>
        <v/>
      </c>
      <c r="BV17" s="17">
        <f>IF(BV$16="","",IF(BV$16=('Model_Assumptions'!$B$8 +1),BU$17*(1+$E$8),IF(BV$16&lt;='Model_Assumptions'!$C$8,BU$17*(1+$C$8),IF(BV$16&gt;=('Model_Assumptions'!$C$8+1),BU$17*(1+$D$8),""))))</f>
        <v/>
      </c>
      <c r="BW17" s="17">
        <f>IF(BW$16="","",IF(BW$16=('Model_Assumptions'!$B$8 +1),BV$17*(1+$E$8),IF(BW$16&lt;='Model_Assumptions'!$C$8,BV$17*(1+$C$8),IF(BW$16&gt;=('Model_Assumptions'!$C$8+1),BV$17*(1+$D$8),""))))</f>
        <v/>
      </c>
      <c r="BX17" s="17">
        <f>IF(BX$16="","",IF(BX$16=('Model_Assumptions'!$B$8 +1),BW$17*(1+$E$8),IF(BX$16&lt;='Model_Assumptions'!$C$8,BW$17*(1+$C$8),IF(BX$16&gt;=('Model_Assumptions'!$C$8+1),BW$17*(1+$D$8),""))))</f>
        <v/>
      </c>
      <c r="BY17" s="17">
        <f>IF(BY$16="","",IF(BY$16=('Model_Assumptions'!$B$8 +1),BX$17*(1+$E$8),IF(BY$16&lt;='Model_Assumptions'!$C$8,BX$17*(1+$C$8),IF(BY$16&gt;=('Model_Assumptions'!$C$8+1),BX$17*(1+$D$8),""))))</f>
        <v/>
      </c>
      <c r="BZ17" s="17">
        <f>IF(BZ$16="","",IF(BZ$16=('Model_Assumptions'!$B$8 +1),BY$17*(1+$E$8),IF(BZ$16&lt;='Model_Assumptions'!$C$8,BY$17*(1+$C$8),IF(BZ$16&gt;=('Model_Assumptions'!$C$8+1),BY$17*(1+$D$8),""))))</f>
        <v/>
      </c>
      <c r="CA17" s="17">
        <f>IF(CA$16="","",IF(CA$16=('Model_Assumptions'!$B$8 +1),BZ$17*(1+$E$8),IF(CA$16&lt;='Model_Assumptions'!$C$8,BZ$17*(1+$C$8),IF(CA$16&gt;=('Model_Assumptions'!$C$8+1),BZ$17*(1+$D$8),""))))</f>
        <v/>
      </c>
      <c r="CB17" s="17">
        <f>IF(CB$16="","",IF(CB$16=('Model_Assumptions'!$B$8 +1),CA$17*(1+$E$8),IF(CB$16&lt;='Model_Assumptions'!$C$8,CA$17*(1+$C$8),IF(CB$16&gt;=('Model_Assumptions'!$C$8+1),CA$17*(1+$D$8),""))))</f>
        <v/>
      </c>
      <c r="CC17" s="17">
        <f>IF(CC$16="","",IF(CC$16=('Model_Assumptions'!$B$8 +1),CB$17*(1+$E$8),IF(CC$16&lt;='Model_Assumptions'!$C$8,CB$17*(1+$C$8),IF(CC$16&gt;=('Model_Assumptions'!$C$8+1),CB$17*(1+$D$8),""))))</f>
        <v/>
      </c>
      <c r="CD17" s="17">
        <f>IF(CD$16="","",IF(CD$16=('Model_Assumptions'!$B$8 +1),CC$17*(1+$E$8),IF(CD$16&lt;='Model_Assumptions'!$C$8,CC$17*(1+$C$8),IF(CD$16&gt;=('Model_Assumptions'!$C$8+1),CC$17*(1+$D$8),""))))</f>
        <v/>
      </c>
      <c r="CE17" s="17">
        <f>IF(CE$16="","",IF(CE$16=('Model_Assumptions'!$B$8 +1),CD$17*(1+$E$8),IF(CE$16&lt;='Model_Assumptions'!$C$8,CD$17*(1+$C$8),IF(CE$16&gt;=('Model_Assumptions'!$C$8+1),CD$17*(1+$D$8),""))))</f>
        <v/>
      </c>
      <c r="CF17" s="17">
        <f>IF(CF$16="","",IF(CF$16=('Model_Assumptions'!$B$8 +1),CE$17*(1+$E$8),IF(CF$16&lt;='Model_Assumptions'!$C$8,CE$17*(1+$C$8),IF(CF$16&gt;=('Model_Assumptions'!$C$8+1),CE$17*(1+$D$8),""))))</f>
        <v/>
      </c>
      <c r="CG17" s="17">
        <f>IF(CG$16="","",IF(CG$16=('Model_Assumptions'!$B$8 +1),CF$17*(1+$E$8),IF(CG$16&lt;='Model_Assumptions'!$C$8,CF$17*(1+$C$8),IF(CG$16&gt;=('Model_Assumptions'!$C$8+1),CF$17*(1+$D$8),""))))</f>
        <v/>
      </c>
      <c r="CH17" s="17">
        <f>IF(CH$16="","",IF(CH$16=('Model_Assumptions'!$B$8 +1),CG$17*(1+$E$8),IF(CH$16&lt;='Model_Assumptions'!$C$8,CG$17*(1+$C$8),IF(CH$16&gt;=('Model_Assumptions'!$C$8+1),CG$17*(1+$D$8),""))))</f>
        <v/>
      </c>
      <c r="CI17" s="17">
        <f>IF(CI$16="","",IF(CI$16=('Model_Assumptions'!$B$8 +1),CH$17*(1+$E$8),IF(CI$16&lt;='Model_Assumptions'!$C$8,CH$17*(1+$C$8),IF(CI$16&gt;=('Model_Assumptions'!$C$8+1),CH$17*(1+$D$8),""))))</f>
        <v/>
      </c>
      <c r="CJ17" s="17">
        <f>IF(CJ$16="","",IF(CJ$16=('Model_Assumptions'!$B$8 +1),CI$17*(1+$E$8),IF(CJ$16&lt;='Model_Assumptions'!$C$8,CI$17*(1+$C$8),IF(CJ$16&gt;=('Model_Assumptions'!$C$8+1),CI$17*(1+$D$8),""))))</f>
        <v/>
      </c>
      <c r="CK17" s="17">
        <f>IF(CK$16="","",IF(CK$16=('Model_Assumptions'!$B$8 +1),CJ$17*(1+$E$8),IF(CK$16&lt;='Model_Assumptions'!$C$8,CJ$17*(1+$C$8),IF(CK$16&gt;=('Model_Assumptions'!$C$8+1),CJ$17*(1+$D$8),""))))</f>
        <v/>
      </c>
      <c r="CL17" s="17">
        <f>IF(CL$16="","",IF(CL$16=('Model_Assumptions'!$B$8 +1),CK$17*(1+$E$8),IF(CL$16&lt;='Model_Assumptions'!$C$8,CK$17*(1+$C$8),IF(CL$16&gt;=('Model_Assumptions'!$C$8+1),CK$17*(1+$D$8),""))))</f>
        <v/>
      </c>
      <c r="CM17" s="18">
        <f>IF(CM$16="","",IF(CM$16=('Model_Assumptions'!$B$8 +1),CL$17*(1+$E$8),IF(CM$16&lt;='Model_Assumptions'!$C$8,CL$17*(1+$C$8),IF(CM$16&gt;=('Model_Assumptions'!$C$8+1),CL$17*(1+$D$8),""))))</f>
        <v/>
      </c>
    </row>
    <row r="18">
      <c r="B18" s="19" t="inlineStr">
        <is>
          <t>EBITDA</t>
        </is>
      </c>
      <c r="C18" s="20" t="inlineStr"/>
      <c r="D18" s="21">
        <f>IF(D$16="","",IF(D$16=('Model_Assumptions'!$B$8+1), D$17*$E$10,IF(D$16&lt;='Model_Assumptions'!$C$8,D$17*$C$10,IF(D$16&gt;=('Model_Assumptions'!$C$8 + 1), D$17*$D$10, ""))))</f>
        <v/>
      </c>
      <c r="E18" s="21">
        <f>IF(E$16="","",IF(E$16=('Model_Assumptions'!$B$8+1), E$17*$E$10,IF(E$16&lt;='Model_Assumptions'!$C$8,E$17*$C$10,IF(E$16&gt;=('Model_Assumptions'!$C$8 + 1), E$17*$D$10, ""))))</f>
        <v/>
      </c>
      <c r="F18" s="21">
        <f>IF(F$16="","",IF(F$16=('Model_Assumptions'!$B$8+1), F$17*$E$10,IF(F$16&lt;='Model_Assumptions'!$C$8,F$17*$C$10,IF(F$16&gt;=('Model_Assumptions'!$C$8 + 1), F$17*$D$10, ""))))</f>
        <v/>
      </c>
      <c r="G18" s="21">
        <f>IF(G$16="","",IF(G$16=('Model_Assumptions'!$B$8+1), G$17*$E$10,IF(G$16&lt;='Model_Assumptions'!$C$8,G$17*$C$10,IF(G$16&gt;=('Model_Assumptions'!$C$8 + 1), G$17*$D$10, ""))))</f>
        <v/>
      </c>
      <c r="H18" s="21">
        <f>IF(H$16="","",IF(H$16=('Model_Assumptions'!$B$8+1), H$17*$E$10,IF(H$16&lt;='Model_Assumptions'!$C$8,H$17*$C$10,IF(H$16&gt;=('Model_Assumptions'!$C$8 + 1), H$17*$D$10, ""))))</f>
        <v/>
      </c>
      <c r="I18" s="21">
        <f>IF(I$16="","",IF(I$16=('Model_Assumptions'!$B$8+1), I$17*$E$10,IF(I$16&lt;='Model_Assumptions'!$C$8,I$17*$C$10,IF(I$16&gt;=('Model_Assumptions'!$C$8 + 1), I$17*$D$10, ""))))</f>
        <v/>
      </c>
      <c r="J18" s="21">
        <f>IF(J$16="","",IF(J$16=('Model_Assumptions'!$B$8+1), J$17*$E$10,IF(J$16&lt;='Model_Assumptions'!$C$8,J$17*$C$10,IF(J$16&gt;=('Model_Assumptions'!$C$8 + 1), J$17*$D$10, ""))))</f>
        <v/>
      </c>
      <c r="K18" s="21">
        <f>IF(K$16="","",IF(K$16=('Model_Assumptions'!$B$8+1), K$17*$E$10,IF(K$16&lt;='Model_Assumptions'!$C$8,K$17*$C$10,IF(K$16&gt;=('Model_Assumptions'!$C$8 + 1), K$17*$D$10, ""))))</f>
        <v/>
      </c>
      <c r="L18" s="21">
        <f>IF(L$16="","",IF(L$16=('Model_Assumptions'!$B$8+1), L$17*$E$10,IF(L$16&lt;='Model_Assumptions'!$C$8,L$17*$C$10,IF(L$16&gt;=('Model_Assumptions'!$C$8 + 1), L$17*$D$10, ""))))</f>
        <v/>
      </c>
      <c r="M18" s="21">
        <f>IF(M$16="","",IF(M$16=('Model_Assumptions'!$B$8+1), M$17*$E$10,IF(M$16&lt;='Model_Assumptions'!$C$8,M$17*$C$10,IF(M$16&gt;=('Model_Assumptions'!$C$8 + 1), M$17*$D$10, ""))))</f>
        <v/>
      </c>
      <c r="N18" s="21">
        <f>IF(N$16="","",IF(N$16=('Model_Assumptions'!$B$8+1), N$17*$E$10,IF(N$16&lt;='Model_Assumptions'!$C$8,N$17*$C$10,IF(N$16&gt;=('Model_Assumptions'!$C$8 + 1), N$17*$D$10, ""))))</f>
        <v/>
      </c>
      <c r="O18" s="21">
        <f>IF(O$16="","",IF(O$16=('Model_Assumptions'!$B$8+1), O$17*$E$10,IF(O$16&lt;='Model_Assumptions'!$C$8,O$17*$C$10,IF(O$16&gt;=('Model_Assumptions'!$C$8 + 1), O$17*$D$10, ""))))</f>
        <v/>
      </c>
      <c r="P18" s="21">
        <f>IF(P$16="","",IF(P$16=('Model_Assumptions'!$B$8+1), P$17*$E$10,IF(P$16&lt;='Model_Assumptions'!$C$8,P$17*$C$10,IF(P$16&gt;=('Model_Assumptions'!$C$8 + 1), P$17*$D$10, ""))))</f>
        <v/>
      </c>
      <c r="Q18" s="21">
        <f>IF(Q$16="","",IF(Q$16=('Model_Assumptions'!$B$8+1), Q$17*$E$10,IF(Q$16&lt;='Model_Assumptions'!$C$8,Q$17*$C$10,IF(Q$16&gt;=('Model_Assumptions'!$C$8 + 1), Q$17*$D$10, ""))))</f>
        <v/>
      </c>
      <c r="R18" s="21">
        <f>IF(R$16="","",IF(R$16=('Model_Assumptions'!$B$8+1), R$17*$E$10,IF(R$16&lt;='Model_Assumptions'!$C$8,R$17*$C$10,IF(R$16&gt;=('Model_Assumptions'!$C$8 + 1), R$17*$D$10, ""))))</f>
        <v/>
      </c>
      <c r="S18" s="21">
        <f>IF(S$16="","",IF(S$16=('Model_Assumptions'!$B$8+1), S$17*$E$10,IF(S$16&lt;='Model_Assumptions'!$C$8,S$17*$C$10,IF(S$16&gt;=('Model_Assumptions'!$C$8 + 1), S$17*$D$10, ""))))</f>
        <v/>
      </c>
      <c r="T18" s="21">
        <f>IF(T$16="","",IF(T$16=('Model_Assumptions'!$B$8+1), T$17*$E$10,IF(T$16&lt;='Model_Assumptions'!$C$8,T$17*$C$10,IF(T$16&gt;=('Model_Assumptions'!$C$8 + 1), T$17*$D$10, ""))))</f>
        <v/>
      </c>
      <c r="U18" s="21">
        <f>IF(U$16="","",IF(U$16=('Model_Assumptions'!$B$8+1), U$17*$E$10,IF(U$16&lt;='Model_Assumptions'!$C$8,U$17*$C$10,IF(U$16&gt;=('Model_Assumptions'!$C$8 + 1), U$17*$D$10, ""))))</f>
        <v/>
      </c>
      <c r="V18" s="21">
        <f>IF(V$16="","",IF(V$16=('Model_Assumptions'!$B$8+1), V$17*$E$10,IF(V$16&lt;='Model_Assumptions'!$C$8,V$17*$C$10,IF(V$16&gt;=('Model_Assumptions'!$C$8 + 1), V$17*$D$10, ""))))</f>
        <v/>
      </c>
      <c r="W18" s="21">
        <f>IF(W$16="","",IF(W$16=('Model_Assumptions'!$B$8+1), W$17*$E$10,IF(W$16&lt;='Model_Assumptions'!$C$8,W$17*$C$10,IF(W$16&gt;=('Model_Assumptions'!$C$8 + 1), W$17*$D$10, ""))))</f>
        <v/>
      </c>
      <c r="X18" s="21">
        <f>IF(X$16="","",IF(X$16=('Model_Assumptions'!$B$8+1), X$17*$E$10,IF(X$16&lt;='Model_Assumptions'!$C$8,X$17*$C$10,IF(X$16&gt;=('Model_Assumptions'!$C$8 + 1), X$17*$D$10, ""))))</f>
        <v/>
      </c>
      <c r="Y18" s="21">
        <f>IF(Y$16="","",IF(Y$16=('Model_Assumptions'!$B$8+1), Y$17*$E$10,IF(Y$16&lt;='Model_Assumptions'!$C$8,Y$17*$C$10,IF(Y$16&gt;=('Model_Assumptions'!$C$8 + 1), Y$17*$D$10, ""))))</f>
        <v/>
      </c>
      <c r="Z18" s="21">
        <f>IF(Z$16="","",IF(Z$16=('Model_Assumptions'!$B$8+1), Z$17*$E$10,IF(Z$16&lt;='Model_Assumptions'!$C$8,Z$17*$C$10,IF(Z$16&gt;=('Model_Assumptions'!$C$8 + 1), Z$17*$D$10, ""))))</f>
        <v/>
      </c>
      <c r="AA18" s="21">
        <f>IF(AA$16="","",IF(AA$16=('Model_Assumptions'!$B$8+1), AA$17*$E$10,IF(AA$16&lt;='Model_Assumptions'!$C$8,AA$17*$C$10,IF(AA$16&gt;=('Model_Assumptions'!$C$8 + 1), AA$17*$D$10, ""))))</f>
        <v/>
      </c>
      <c r="AB18" s="21">
        <f>IF(AB$16="","",IF(AB$16=('Model_Assumptions'!$B$8+1), AB$17*$E$10,IF(AB$16&lt;='Model_Assumptions'!$C$8,AB$17*$C$10,IF(AB$16&gt;=('Model_Assumptions'!$C$8 + 1), AB$17*$D$10, ""))))</f>
        <v/>
      </c>
      <c r="AC18" s="21">
        <f>IF(AC$16="","",IF(AC$16=('Model_Assumptions'!$B$8+1), AC$17*$E$10,IF(AC$16&lt;='Model_Assumptions'!$C$8,AC$17*$C$10,IF(AC$16&gt;=('Model_Assumptions'!$C$8 + 1), AC$17*$D$10, ""))))</f>
        <v/>
      </c>
      <c r="AD18" s="21">
        <f>IF(AD$16="","",IF(AD$16=('Model_Assumptions'!$B$8+1), AD$17*$E$10,IF(AD$16&lt;='Model_Assumptions'!$C$8,AD$17*$C$10,IF(AD$16&gt;=('Model_Assumptions'!$C$8 + 1), AD$17*$D$10, ""))))</f>
        <v/>
      </c>
      <c r="AE18" s="21">
        <f>IF(AE$16="","",IF(AE$16=('Model_Assumptions'!$B$8+1), AE$17*$E$10,IF(AE$16&lt;='Model_Assumptions'!$C$8,AE$17*$C$10,IF(AE$16&gt;=('Model_Assumptions'!$C$8 + 1), AE$17*$D$10, ""))))</f>
        <v/>
      </c>
      <c r="AF18" s="21">
        <f>IF(AF$16="","",IF(AF$16=('Model_Assumptions'!$B$8+1), AF$17*$E$10,IF(AF$16&lt;='Model_Assumptions'!$C$8,AF$17*$C$10,IF(AF$16&gt;=('Model_Assumptions'!$C$8 + 1), AF$17*$D$10, ""))))</f>
        <v/>
      </c>
      <c r="AG18" s="21">
        <f>IF(AG$16="","",IF(AG$16=('Model_Assumptions'!$B$8+1), AG$17*$E$10,IF(AG$16&lt;='Model_Assumptions'!$C$8,AG$17*$C$10,IF(AG$16&gt;=('Model_Assumptions'!$C$8 + 1), AG$17*$D$10, ""))))</f>
        <v/>
      </c>
      <c r="AH18" s="21">
        <f>IF(AH$16="","",IF(AH$16=('Model_Assumptions'!$B$8+1), AH$17*$E$10,IF(AH$16&lt;='Model_Assumptions'!$C$8,AH$17*$C$10,IF(AH$16&gt;=('Model_Assumptions'!$C$8 + 1), AH$17*$D$10, ""))))</f>
        <v/>
      </c>
      <c r="AI18" s="21">
        <f>IF(AI$16="","",IF(AI$16=('Model_Assumptions'!$B$8+1), AI$17*$E$10,IF(AI$16&lt;='Model_Assumptions'!$C$8,AI$17*$C$10,IF(AI$16&gt;=('Model_Assumptions'!$C$8 + 1), AI$17*$D$10, ""))))</f>
        <v/>
      </c>
      <c r="AJ18" s="21">
        <f>IF(AJ$16="","",IF(AJ$16=('Model_Assumptions'!$B$8+1), AJ$17*$E$10,IF(AJ$16&lt;='Model_Assumptions'!$C$8,AJ$17*$C$10,IF(AJ$16&gt;=('Model_Assumptions'!$C$8 + 1), AJ$17*$D$10, ""))))</f>
        <v/>
      </c>
      <c r="AK18" s="21">
        <f>IF(AK$16="","",IF(AK$16=('Model_Assumptions'!$B$8+1), AK$17*$E$10,IF(AK$16&lt;='Model_Assumptions'!$C$8,AK$17*$C$10,IF(AK$16&gt;=('Model_Assumptions'!$C$8 + 1), AK$17*$D$10, ""))))</f>
        <v/>
      </c>
      <c r="AL18" s="21">
        <f>IF(AL$16="","",IF(AL$16=('Model_Assumptions'!$B$8+1), AL$17*$E$10,IF(AL$16&lt;='Model_Assumptions'!$C$8,AL$17*$C$10,IF(AL$16&gt;=('Model_Assumptions'!$C$8 + 1), AL$17*$D$10, ""))))</f>
        <v/>
      </c>
      <c r="AM18" s="21">
        <f>IF(AM$16="","",IF(AM$16=('Model_Assumptions'!$B$8+1), AM$17*$E$10,IF(AM$16&lt;='Model_Assumptions'!$C$8,AM$17*$C$10,IF(AM$16&gt;=('Model_Assumptions'!$C$8 + 1), AM$17*$D$10, ""))))</f>
        <v/>
      </c>
      <c r="AN18" s="21">
        <f>IF(AN$16="","",IF(AN$16=('Model_Assumptions'!$B$8+1), AN$17*$E$10,IF(AN$16&lt;='Model_Assumptions'!$C$8,AN$17*$C$10,IF(AN$16&gt;=('Model_Assumptions'!$C$8 + 1), AN$17*$D$10, ""))))</f>
        <v/>
      </c>
      <c r="AO18" s="21">
        <f>IF(AO$16="","",IF(AO$16=('Model_Assumptions'!$B$8+1), AO$17*$E$10,IF(AO$16&lt;='Model_Assumptions'!$C$8,AO$17*$C$10,IF(AO$16&gt;=('Model_Assumptions'!$C$8 + 1), AO$17*$D$10, ""))))</f>
        <v/>
      </c>
      <c r="AP18" s="21">
        <f>IF(AP$16="","",IF(AP$16=('Model_Assumptions'!$B$8+1), AP$17*$E$10,IF(AP$16&lt;='Model_Assumptions'!$C$8,AP$17*$C$10,IF(AP$16&gt;=('Model_Assumptions'!$C$8 + 1), AP$17*$D$10, ""))))</f>
        <v/>
      </c>
      <c r="AQ18" s="21">
        <f>IF(AQ$16="","",IF(AQ$16=('Model_Assumptions'!$B$8+1), AQ$17*$E$10,IF(AQ$16&lt;='Model_Assumptions'!$C$8,AQ$17*$C$10,IF(AQ$16&gt;=('Model_Assumptions'!$C$8 + 1), AQ$17*$D$10, ""))))</f>
        <v/>
      </c>
      <c r="AR18" s="21">
        <f>IF(AR$16="","",IF(AR$16=('Model_Assumptions'!$B$8+1), AR$17*$E$10,IF(AR$16&lt;='Model_Assumptions'!$C$8,AR$17*$C$10,IF(AR$16&gt;=('Model_Assumptions'!$C$8 + 1), AR$17*$D$10, ""))))</f>
        <v/>
      </c>
      <c r="AS18" s="21">
        <f>IF(AS$16="","",IF(AS$16=('Model_Assumptions'!$B$8+1), AS$17*$E$10,IF(AS$16&lt;='Model_Assumptions'!$C$8,AS$17*$C$10,IF(AS$16&gt;=('Model_Assumptions'!$C$8 + 1), AS$17*$D$10, ""))))</f>
        <v/>
      </c>
      <c r="AT18" s="21">
        <f>IF(AT$16="","",IF(AT$16=('Model_Assumptions'!$B$8+1), AT$17*$E$10,IF(AT$16&lt;='Model_Assumptions'!$C$8,AT$17*$C$10,IF(AT$16&gt;=('Model_Assumptions'!$C$8 + 1), AT$17*$D$10, ""))))</f>
        <v/>
      </c>
      <c r="AU18" s="21">
        <f>IF(AU$16="","",IF(AU$16=('Model_Assumptions'!$B$8+1), AU$17*$E$10,IF(AU$16&lt;='Model_Assumptions'!$C$8,AU$17*$C$10,IF(AU$16&gt;=('Model_Assumptions'!$C$8 + 1), AU$17*$D$10, ""))))</f>
        <v/>
      </c>
      <c r="AV18" s="21">
        <f>IF(AV$16="","",IF(AV$16=('Model_Assumptions'!$B$8+1), AV$17*$E$10,IF(AV$16&lt;='Model_Assumptions'!$C$8,AV$17*$C$10,IF(AV$16&gt;=('Model_Assumptions'!$C$8 + 1), AV$17*$D$10, ""))))</f>
        <v/>
      </c>
      <c r="AW18" s="21">
        <f>IF(AW$16="","",IF(AW$16=('Model_Assumptions'!$B$8+1), AW$17*$E$10,IF(AW$16&lt;='Model_Assumptions'!$C$8,AW$17*$C$10,IF(AW$16&gt;=('Model_Assumptions'!$C$8 + 1), AW$17*$D$10, ""))))</f>
        <v/>
      </c>
      <c r="AX18" s="21">
        <f>IF(AX$16="","",IF(AX$16=('Model_Assumptions'!$B$8+1), AX$17*$E$10,IF(AX$16&lt;='Model_Assumptions'!$C$8,AX$17*$C$10,IF(AX$16&gt;=('Model_Assumptions'!$C$8 + 1), AX$17*$D$10, ""))))</f>
        <v/>
      </c>
      <c r="AY18" s="21">
        <f>IF(AY$16="","",IF(AY$16=('Model_Assumptions'!$B$8+1), AY$17*$E$10,IF(AY$16&lt;='Model_Assumptions'!$C$8,AY$17*$C$10,IF(AY$16&gt;=('Model_Assumptions'!$C$8 + 1), AY$17*$D$10, ""))))</f>
        <v/>
      </c>
      <c r="AZ18" s="21">
        <f>IF(AZ$16="","",IF(AZ$16=('Model_Assumptions'!$B$8+1), AZ$17*$E$10,IF(AZ$16&lt;='Model_Assumptions'!$C$8,AZ$17*$C$10,IF(AZ$16&gt;=('Model_Assumptions'!$C$8 + 1), AZ$17*$D$10, ""))))</f>
        <v/>
      </c>
      <c r="BA18" s="21">
        <f>IF(BA$16="","",IF(BA$16=('Model_Assumptions'!$B$8+1), BA$17*$E$10,IF(BA$16&lt;='Model_Assumptions'!$C$8,BA$17*$C$10,IF(BA$16&gt;=('Model_Assumptions'!$C$8 + 1), BA$17*$D$10, ""))))</f>
        <v/>
      </c>
      <c r="BB18" s="21">
        <f>IF(BB$16="","",IF(BB$16=('Model_Assumptions'!$B$8+1), BB$17*$E$10,IF(BB$16&lt;='Model_Assumptions'!$C$8,BB$17*$C$10,IF(BB$16&gt;=('Model_Assumptions'!$C$8 + 1), BB$17*$D$10, ""))))</f>
        <v/>
      </c>
      <c r="BC18" s="21">
        <f>IF(BC$16="","",IF(BC$16=('Model_Assumptions'!$B$8+1), BC$17*$E$10,IF(BC$16&lt;='Model_Assumptions'!$C$8,BC$17*$C$10,IF(BC$16&gt;=('Model_Assumptions'!$C$8 + 1), BC$17*$D$10, ""))))</f>
        <v/>
      </c>
      <c r="BD18" s="21">
        <f>IF(BD$16="","",IF(BD$16=('Model_Assumptions'!$B$8+1), BD$17*$E$10,IF(BD$16&lt;='Model_Assumptions'!$C$8,BD$17*$C$10,IF(BD$16&gt;=('Model_Assumptions'!$C$8 + 1), BD$17*$D$10, ""))))</f>
        <v/>
      </c>
      <c r="BE18" s="21">
        <f>IF(BE$16="","",IF(BE$16=('Model_Assumptions'!$B$8+1), BE$17*$E$10,IF(BE$16&lt;='Model_Assumptions'!$C$8,BE$17*$C$10,IF(BE$16&gt;=('Model_Assumptions'!$C$8 + 1), BE$17*$D$10, ""))))</f>
        <v/>
      </c>
      <c r="BF18" s="21">
        <f>IF(BF$16="","",IF(BF$16=('Model_Assumptions'!$B$8+1), BF$17*$E$10,IF(BF$16&lt;='Model_Assumptions'!$C$8,BF$17*$C$10,IF(BF$16&gt;=('Model_Assumptions'!$C$8 + 1), BF$17*$D$10, ""))))</f>
        <v/>
      </c>
      <c r="BG18" s="21">
        <f>IF(BG$16="","",IF(BG$16=('Model_Assumptions'!$B$8+1), BG$17*$E$10,IF(BG$16&lt;='Model_Assumptions'!$C$8,BG$17*$C$10,IF(BG$16&gt;=('Model_Assumptions'!$C$8 + 1), BG$17*$D$10, ""))))</f>
        <v/>
      </c>
      <c r="BH18" s="21">
        <f>IF(BH$16="","",IF(BH$16=('Model_Assumptions'!$B$8+1), BH$17*$E$10,IF(BH$16&lt;='Model_Assumptions'!$C$8,BH$17*$C$10,IF(BH$16&gt;=('Model_Assumptions'!$C$8 + 1), BH$17*$D$10, ""))))</f>
        <v/>
      </c>
      <c r="BI18" s="21">
        <f>IF(BI$16="","",IF(BI$16=('Model_Assumptions'!$B$8+1), BI$17*$E$10,IF(BI$16&lt;='Model_Assumptions'!$C$8,BI$17*$C$10,IF(BI$16&gt;=('Model_Assumptions'!$C$8 + 1), BI$17*$D$10, ""))))</f>
        <v/>
      </c>
      <c r="BJ18" s="21">
        <f>IF(BJ$16="","",IF(BJ$16=('Model_Assumptions'!$B$8+1), BJ$17*$E$10,IF(BJ$16&lt;='Model_Assumptions'!$C$8,BJ$17*$C$10,IF(BJ$16&gt;=('Model_Assumptions'!$C$8 + 1), BJ$17*$D$10, ""))))</f>
        <v/>
      </c>
      <c r="BK18" s="21">
        <f>IF(BK$16="","",IF(BK$16=('Model_Assumptions'!$B$8+1), BK$17*$E$10,IF(BK$16&lt;='Model_Assumptions'!$C$8,BK$17*$C$10,IF(BK$16&gt;=('Model_Assumptions'!$C$8 + 1), BK$17*$D$10, ""))))</f>
        <v/>
      </c>
      <c r="BL18" s="21">
        <f>IF(BL$16="","",IF(BL$16=('Model_Assumptions'!$B$8+1), BL$17*$E$10,IF(BL$16&lt;='Model_Assumptions'!$C$8,BL$17*$C$10,IF(BL$16&gt;=('Model_Assumptions'!$C$8 + 1), BL$17*$D$10, ""))))</f>
        <v/>
      </c>
      <c r="BM18" s="21">
        <f>IF(BM$16="","",IF(BM$16=('Model_Assumptions'!$B$8+1), BM$17*$E$10,IF(BM$16&lt;='Model_Assumptions'!$C$8,BM$17*$C$10,IF(BM$16&gt;=('Model_Assumptions'!$C$8 + 1), BM$17*$D$10, ""))))</f>
        <v/>
      </c>
      <c r="BN18" s="21">
        <f>IF(BN$16="","",IF(BN$16=('Model_Assumptions'!$B$8+1), BN$17*$E$10,IF(BN$16&lt;='Model_Assumptions'!$C$8,BN$17*$C$10,IF(BN$16&gt;=('Model_Assumptions'!$C$8 + 1), BN$17*$D$10, ""))))</f>
        <v/>
      </c>
      <c r="BO18" s="21">
        <f>IF(BO$16="","",IF(BO$16=('Model_Assumptions'!$B$8+1), BO$17*$E$10,IF(BO$16&lt;='Model_Assumptions'!$C$8,BO$17*$C$10,IF(BO$16&gt;=('Model_Assumptions'!$C$8 + 1), BO$17*$D$10, ""))))</f>
        <v/>
      </c>
      <c r="BP18" s="21">
        <f>IF(BP$16="","",IF(BP$16=('Model_Assumptions'!$B$8+1), BP$17*$E$10,IF(BP$16&lt;='Model_Assumptions'!$C$8,BP$17*$C$10,IF(BP$16&gt;=('Model_Assumptions'!$C$8 + 1), BP$17*$D$10, ""))))</f>
        <v/>
      </c>
      <c r="BQ18" s="21">
        <f>IF(BQ$16="","",IF(BQ$16=('Model_Assumptions'!$B$8+1), BQ$17*$E$10,IF(BQ$16&lt;='Model_Assumptions'!$C$8,BQ$17*$C$10,IF(BQ$16&gt;=('Model_Assumptions'!$C$8 + 1), BQ$17*$D$10, ""))))</f>
        <v/>
      </c>
      <c r="BR18" s="21">
        <f>IF(BR$16="","",IF(BR$16=('Model_Assumptions'!$B$8+1), BR$17*$E$10,IF(BR$16&lt;='Model_Assumptions'!$C$8,BR$17*$C$10,IF(BR$16&gt;=('Model_Assumptions'!$C$8 + 1), BR$17*$D$10, ""))))</f>
        <v/>
      </c>
      <c r="BS18" s="21">
        <f>IF(BS$16="","",IF(BS$16=('Model_Assumptions'!$B$8+1), BS$17*$E$10,IF(BS$16&lt;='Model_Assumptions'!$C$8,BS$17*$C$10,IF(BS$16&gt;=('Model_Assumptions'!$C$8 + 1), BS$17*$D$10, ""))))</f>
        <v/>
      </c>
      <c r="BT18" s="21">
        <f>IF(BT$16="","",IF(BT$16=('Model_Assumptions'!$B$8+1), BT$17*$E$10,IF(BT$16&lt;='Model_Assumptions'!$C$8,BT$17*$C$10,IF(BT$16&gt;=('Model_Assumptions'!$C$8 + 1), BT$17*$D$10, ""))))</f>
        <v/>
      </c>
      <c r="BU18" s="21">
        <f>IF(BU$16="","",IF(BU$16=('Model_Assumptions'!$B$8+1), BU$17*$E$10,IF(BU$16&lt;='Model_Assumptions'!$C$8,BU$17*$C$10,IF(BU$16&gt;=('Model_Assumptions'!$C$8 + 1), BU$17*$D$10, ""))))</f>
        <v/>
      </c>
      <c r="BV18" s="21">
        <f>IF(BV$16="","",IF(BV$16=('Model_Assumptions'!$B$8+1), BV$17*$E$10,IF(BV$16&lt;='Model_Assumptions'!$C$8,BV$17*$C$10,IF(BV$16&gt;=('Model_Assumptions'!$C$8 + 1), BV$17*$D$10, ""))))</f>
        <v/>
      </c>
      <c r="BW18" s="21">
        <f>IF(BW$16="","",IF(BW$16=('Model_Assumptions'!$B$8+1), BW$17*$E$10,IF(BW$16&lt;='Model_Assumptions'!$C$8,BW$17*$C$10,IF(BW$16&gt;=('Model_Assumptions'!$C$8 + 1), BW$17*$D$10, ""))))</f>
        <v/>
      </c>
      <c r="BX18" s="21">
        <f>IF(BX$16="","",IF(BX$16=('Model_Assumptions'!$B$8+1), BX$17*$E$10,IF(BX$16&lt;='Model_Assumptions'!$C$8,BX$17*$C$10,IF(BX$16&gt;=('Model_Assumptions'!$C$8 + 1), BX$17*$D$10, ""))))</f>
        <v/>
      </c>
      <c r="BY18" s="21">
        <f>IF(BY$16="","",IF(BY$16=('Model_Assumptions'!$B$8+1), BY$17*$E$10,IF(BY$16&lt;='Model_Assumptions'!$C$8,BY$17*$C$10,IF(BY$16&gt;=('Model_Assumptions'!$C$8 + 1), BY$17*$D$10, ""))))</f>
        <v/>
      </c>
      <c r="BZ18" s="21">
        <f>IF(BZ$16="","",IF(BZ$16=('Model_Assumptions'!$B$8+1), BZ$17*$E$10,IF(BZ$16&lt;='Model_Assumptions'!$C$8,BZ$17*$C$10,IF(BZ$16&gt;=('Model_Assumptions'!$C$8 + 1), BZ$17*$D$10, ""))))</f>
        <v/>
      </c>
      <c r="CA18" s="21">
        <f>IF(CA$16="","",IF(CA$16=('Model_Assumptions'!$B$8+1), CA$17*$E$10,IF(CA$16&lt;='Model_Assumptions'!$C$8,CA$17*$C$10,IF(CA$16&gt;=('Model_Assumptions'!$C$8 + 1), CA$17*$D$10, ""))))</f>
        <v/>
      </c>
      <c r="CB18" s="21">
        <f>IF(CB$16="","",IF(CB$16=('Model_Assumptions'!$B$8+1), CB$17*$E$10,IF(CB$16&lt;='Model_Assumptions'!$C$8,CB$17*$C$10,IF(CB$16&gt;=('Model_Assumptions'!$C$8 + 1), CB$17*$D$10, ""))))</f>
        <v/>
      </c>
      <c r="CC18" s="21">
        <f>IF(CC$16="","",IF(CC$16=('Model_Assumptions'!$B$8+1), CC$17*$E$10,IF(CC$16&lt;='Model_Assumptions'!$C$8,CC$17*$C$10,IF(CC$16&gt;=('Model_Assumptions'!$C$8 + 1), CC$17*$D$10, ""))))</f>
        <v/>
      </c>
      <c r="CD18" s="21">
        <f>IF(CD$16="","",IF(CD$16=('Model_Assumptions'!$B$8+1), CD$17*$E$10,IF(CD$16&lt;='Model_Assumptions'!$C$8,CD$17*$C$10,IF(CD$16&gt;=('Model_Assumptions'!$C$8 + 1), CD$17*$D$10, ""))))</f>
        <v/>
      </c>
      <c r="CE18" s="21">
        <f>IF(CE$16="","",IF(CE$16=('Model_Assumptions'!$B$8+1), CE$17*$E$10,IF(CE$16&lt;='Model_Assumptions'!$C$8,CE$17*$C$10,IF(CE$16&gt;=('Model_Assumptions'!$C$8 + 1), CE$17*$D$10, ""))))</f>
        <v/>
      </c>
      <c r="CF18" s="21">
        <f>IF(CF$16="","",IF(CF$16=('Model_Assumptions'!$B$8+1), CF$17*$E$10,IF(CF$16&lt;='Model_Assumptions'!$C$8,CF$17*$C$10,IF(CF$16&gt;=('Model_Assumptions'!$C$8 + 1), CF$17*$D$10, ""))))</f>
        <v/>
      </c>
      <c r="CG18" s="21">
        <f>IF(CG$16="","",IF(CG$16=('Model_Assumptions'!$B$8+1), CG$17*$E$10,IF(CG$16&lt;='Model_Assumptions'!$C$8,CG$17*$C$10,IF(CG$16&gt;=('Model_Assumptions'!$C$8 + 1), CG$17*$D$10, ""))))</f>
        <v/>
      </c>
      <c r="CH18" s="21">
        <f>IF(CH$16="","",IF(CH$16=('Model_Assumptions'!$B$8+1), CH$17*$E$10,IF(CH$16&lt;='Model_Assumptions'!$C$8,CH$17*$C$10,IF(CH$16&gt;=('Model_Assumptions'!$C$8 + 1), CH$17*$D$10, ""))))</f>
        <v/>
      </c>
      <c r="CI18" s="21">
        <f>IF(CI$16="","",IF(CI$16=('Model_Assumptions'!$B$8+1), CI$17*$E$10,IF(CI$16&lt;='Model_Assumptions'!$C$8,CI$17*$C$10,IF(CI$16&gt;=('Model_Assumptions'!$C$8 + 1), CI$17*$D$10, ""))))</f>
        <v/>
      </c>
      <c r="CJ18" s="21">
        <f>IF(CJ$16="","",IF(CJ$16=('Model_Assumptions'!$B$8+1), CJ$17*$E$10,IF(CJ$16&lt;='Model_Assumptions'!$C$8,CJ$17*$C$10,IF(CJ$16&gt;=('Model_Assumptions'!$C$8 + 1), CJ$17*$D$10, ""))))</f>
        <v/>
      </c>
      <c r="CK18" s="21">
        <f>IF(CK$16="","",IF(CK$16=('Model_Assumptions'!$B$8+1), CK$17*$E$10,IF(CK$16&lt;='Model_Assumptions'!$C$8,CK$17*$C$10,IF(CK$16&gt;=('Model_Assumptions'!$C$8 + 1), CK$17*$D$10, ""))))</f>
        <v/>
      </c>
      <c r="CL18" s="21">
        <f>IF(CL$16="","",IF(CL$16=('Model_Assumptions'!$B$8+1), CL$17*$E$10,IF(CL$16&lt;='Model_Assumptions'!$C$8,CL$17*$C$10,IF(CL$16&gt;=('Model_Assumptions'!$C$8 + 1), CL$17*$D$10, ""))))</f>
        <v/>
      </c>
      <c r="CM18" s="22">
        <f>IF(CM$16="","",IF(CM$16=('Model_Assumptions'!$B$8+1), CM$17*$E$10,IF(CM$16&lt;='Model_Assumptions'!$C$8,CM$17*$C$10,IF(CM$16&gt;=('Model_Assumptions'!$C$8 + 1), CM$17*$D$10, ""))))</f>
        <v/>
      </c>
    </row>
    <row r="19">
      <c r="B19" s="19" t="inlineStr">
        <is>
          <t>EBITDA After Tax</t>
        </is>
      </c>
      <c r="C19" s="20" t="inlineStr"/>
      <c r="D19" s="21">
        <f>IF(D$16="","", IF(D$16=('Model_Assumptions'!$B$8+1), D$18*(1-$E$9),IF(D$16&lt;='Model_Assumptions'!$C$8,D$18*(1-$C$9),IF(D$16&gt;=('Model_Assumptions'!$C$8 + 1), D$18*(1-$D$9), ""))))</f>
        <v/>
      </c>
      <c r="E19" s="21">
        <f>IF(E$16="","", IF(E$16=('Model_Assumptions'!$B$8+1), E$18*(1-$E$9),IF(E$16&lt;='Model_Assumptions'!$C$8,E$18*(1-$C$9),IF(E$16&gt;=('Model_Assumptions'!$C$8 + 1), E$18*(1-$D$9), ""))))</f>
        <v/>
      </c>
      <c r="F19" s="21">
        <f>IF(F$16="","", IF(F$16=('Model_Assumptions'!$B$8+1), F$18*(1-$E$9),IF(F$16&lt;='Model_Assumptions'!$C$8,F$18*(1-$C$9),IF(F$16&gt;=('Model_Assumptions'!$C$8 + 1), F$18*(1-$D$9), ""))))</f>
        <v/>
      </c>
      <c r="G19" s="21">
        <f>IF(G$16="","", IF(G$16=('Model_Assumptions'!$B$8+1), G$18*(1-$E$9),IF(G$16&lt;='Model_Assumptions'!$C$8,G$18*(1-$C$9),IF(G$16&gt;=('Model_Assumptions'!$C$8 + 1), G$18*(1-$D$9), ""))))</f>
        <v/>
      </c>
      <c r="H19" s="21">
        <f>IF(H$16="","", IF(H$16=('Model_Assumptions'!$B$8+1), H$18*(1-$E$9),IF(H$16&lt;='Model_Assumptions'!$C$8,H$18*(1-$C$9),IF(H$16&gt;=('Model_Assumptions'!$C$8 + 1), H$18*(1-$D$9), ""))))</f>
        <v/>
      </c>
      <c r="I19" s="21">
        <f>IF(I$16="","", IF(I$16=('Model_Assumptions'!$B$8+1), I$18*(1-$E$9),IF(I$16&lt;='Model_Assumptions'!$C$8,I$18*(1-$C$9),IF(I$16&gt;=('Model_Assumptions'!$C$8 + 1), I$18*(1-$D$9), ""))))</f>
        <v/>
      </c>
      <c r="J19" s="21">
        <f>IF(J$16="","", IF(J$16=('Model_Assumptions'!$B$8+1), J$18*(1-$E$9),IF(J$16&lt;='Model_Assumptions'!$C$8,J$18*(1-$C$9),IF(J$16&gt;=('Model_Assumptions'!$C$8 + 1), J$18*(1-$D$9), ""))))</f>
        <v/>
      </c>
      <c r="K19" s="21">
        <f>IF(K$16="","", IF(K$16=('Model_Assumptions'!$B$8+1), K$18*(1-$E$9),IF(K$16&lt;='Model_Assumptions'!$C$8,K$18*(1-$C$9),IF(K$16&gt;=('Model_Assumptions'!$C$8 + 1), K$18*(1-$D$9), ""))))</f>
        <v/>
      </c>
      <c r="L19" s="21">
        <f>IF(L$16="","", IF(L$16=('Model_Assumptions'!$B$8+1), L$18*(1-$E$9),IF(L$16&lt;='Model_Assumptions'!$C$8,L$18*(1-$C$9),IF(L$16&gt;=('Model_Assumptions'!$C$8 + 1), L$18*(1-$D$9), ""))))</f>
        <v/>
      </c>
      <c r="M19" s="21">
        <f>IF(M$16="","", IF(M$16=('Model_Assumptions'!$B$8+1), M$18*(1-$E$9),IF(M$16&lt;='Model_Assumptions'!$C$8,M$18*(1-$C$9),IF(M$16&gt;=('Model_Assumptions'!$C$8 + 1), M$18*(1-$D$9), ""))))</f>
        <v/>
      </c>
      <c r="N19" s="21">
        <f>IF(N$16="","", IF(N$16=('Model_Assumptions'!$B$8+1), N$18*(1-$E$9),IF(N$16&lt;='Model_Assumptions'!$C$8,N$18*(1-$C$9),IF(N$16&gt;=('Model_Assumptions'!$C$8 + 1), N$18*(1-$D$9), ""))))</f>
        <v/>
      </c>
      <c r="O19" s="21">
        <f>IF(O$16="","", IF(O$16=('Model_Assumptions'!$B$8+1), O$18*(1-$E$9),IF(O$16&lt;='Model_Assumptions'!$C$8,O$18*(1-$C$9),IF(O$16&gt;=('Model_Assumptions'!$C$8 + 1), O$18*(1-$D$9), ""))))</f>
        <v/>
      </c>
      <c r="P19" s="21">
        <f>IF(P$16="","", IF(P$16=('Model_Assumptions'!$B$8+1), P$18*(1-$E$9),IF(P$16&lt;='Model_Assumptions'!$C$8,P$18*(1-$C$9),IF(P$16&gt;=('Model_Assumptions'!$C$8 + 1), P$18*(1-$D$9), ""))))</f>
        <v/>
      </c>
      <c r="Q19" s="21">
        <f>IF(Q$16="","", IF(Q$16=('Model_Assumptions'!$B$8+1), Q$18*(1-$E$9),IF(Q$16&lt;='Model_Assumptions'!$C$8,Q$18*(1-$C$9),IF(Q$16&gt;=('Model_Assumptions'!$C$8 + 1), Q$18*(1-$D$9), ""))))</f>
        <v/>
      </c>
      <c r="R19" s="21">
        <f>IF(R$16="","", IF(R$16=('Model_Assumptions'!$B$8+1), R$18*(1-$E$9),IF(R$16&lt;='Model_Assumptions'!$C$8,R$18*(1-$C$9),IF(R$16&gt;=('Model_Assumptions'!$C$8 + 1), R$18*(1-$D$9), ""))))</f>
        <v/>
      </c>
      <c r="S19" s="21">
        <f>IF(S$16="","", IF(S$16=('Model_Assumptions'!$B$8+1), S$18*(1-$E$9),IF(S$16&lt;='Model_Assumptions'!$C$8,S$18*(1-$C$9),IF(S$16&gt;=('Model_Assumptions'!$C$8 + 1), S$18*(1-$D$9), ""))))</f>
        <v/>
      </c>
      <c r="T19" s="21">
        <f>IF(T$16="","", IF(T$16=('Model_Assumptions'!$B$8+1), T$18*(1-$E$9),IF(T$16&lt;='Model_Assumptions'!$C$8,T$18*(1-$C$9),IF(T$16&gt;=('Model_Assumptions'!$C$8 + 1), T$18*(1-$D$9), ""))))</f>
        <v/>
      </c>
      <c r="U19" s="21">
        <f>IF(U$16="","", IF(U$16=('Model_Assumptions'!$B$8+1), U$18*(1-$E$9),IF(U$16&lt;='Model_Assumptions'!$C$8,U$18*(1-$C$9),IF(U$16&gt;=('Model_Assumptions'!$C$8 + 1), U$18*(1-$D$9), ""))))</f>
        <v/>
      </c>
      <c r="V19" s="21">
        <f>IF(V$16="","", IF(V$16=('Model_Assumptions'!$B$8+1), V$18*(1-$E$9),IF(V$16&lt;='Model_Assumptions'!$C$8,V$18*(1-$C$9),IF(V$16&gt;=('Model_Assumptions'!$C$8 + 1), V$18*(1-$D$9), ""))))</f>
        <v/>
      </c>
      <c r="W19" s="21">
        <f>IF(W$16="","", IF(W$16=('Model_Assumptions'!$B$8+1), W$18*(1-$E$9),IF(W$16&lt;='Model_Assumptions'!$C$8,W$18*(1-$C$9),IF(W$16&gt;=('Model_Assumptions'!$C$8 + 1), W$18*(1-$D$9), ""))))</f>
        <v/>
      </c>
      <c r="X19" s="21">
        <f>IF(X$16="","", IF(X$16=('Model_Assumptions'!$B$8+1), X$18*(1-$E$9),IF(X$16&lt;='Model_Assumptions'!$C$8,X$18*(1-$C$9),IF(X$16&gt;=('Model_Assumptions'!$C$8 + 1), X$18*(1-$D$9), ""))))</f>
        <v/>
      </c>
      <c r="Y19" s="21">
        <f>IF(Y$16="","", IF(Y$16=('Model_Assumptions'!$B$8+1), Y$18*(1-$E$9),IF(Y$16&lt;='Model_Assumptions'!$C$8,Y$18*(1-$C$9),IF(Y$16&gt;=('Model_Assumptions'!$C$8 + 1), Y$18*(1-$D$9), ""))))</f>
        <v/>
      </c>
      <c r="Z19" s="21">
        <f>IF(Z$16="","", IF(Z$16=('Model_Assumptions'!$B$8+1), Z$18*(1-$E$9),IF(Z$16&lt;='Model_Assumptions'!$C$8,Z$18*(1-$C$9),IF(Z$16&gt;=('Model_Assumptions'!$C$8 + 1), Z$18*(1-$D$9), ""))))</f>
        <v/>
      </c>
      <c r="AA19" s="21">
        <f>IF(AA$16="","", IF(AA$16=('Model_Assumptions'!$B$8+1), AA$18*(1-$E$9),IF(AA$16&lt;='Model_Assumptions'!$C$8,AA$18*(1-$C$9),IF(AA$16&gt;=('Model_Assumptions'!$C$8 + 1), AA$18*(1-$D$9), ""))))</f>
        <v/>
      </c>
      <c r="AB19" s="21">
        <f>IF(AB$16="","", IF(AB$16=('Model_Assumptions'!$B$8+1), AB$18*(1-$E$9),IF(AB$16&lt;='Model_Assumptions'!$C$8,AB$18*(1-$C$9),IF(AB$16&gt;=('Model_Assumptions'!$C$8 + 1), AB$18*(1-$D$9), ""))))</f>
        <v/>
      </c>
      <c r="AC19" s="21">
        <f>IF(AC$16="","", IF(AC$16=('Model_Assumptions'!$B$8+1), AC$18*(1-$E$9),IF(AC$16&lt;='Model_Assumptions'!$C$8,AC$18*(1-$C$9),IF(AC$16&gt;=('Model_Assumptions'!$C$8 + 1), AC$18*(1-$D$9), ""))))</f>
        <v/>
      </c>
      <c r="AD19" s="21">
        <f>IF(AD$16="","", IF(AD$16=('Model_Assumptions'!$B$8+1), AD$18*(1-$E$9),IF(AD$16&lt;='Model_Assumptions'!$C$8,AD$18*(1-$C$9),IF(AD$16&gt;=('Model_Assumptions'!$C$8 + 1), AD$18*(1-$D$9), ""))))</f>
        <v/>
      </c>
      <c r="AE19" s="21">
        <f>IF(AE$16="","", IF(AE$16=('Model_Assumptions'!$B$8+1), AE$18*(1-$E$9),IF(AE$16&lt;='Model_Assumptions'!$C$8,AE$18*(1-$C$9),IF(AE$16&gt;=('Model_Assumptions'!$C$8 + 1), AE$18*(1-$D$9), ""))))</f>
        <v/>
      </c>
      <c r="AF19" s="21">
        <f>IF(AF$16="","", IF(AF$16=('Model_Assumptions'!$B$8+1), AF$18*(1-$E$9),IF(AF$16&lt;='Model_Assumptions'!$C$8,AF$18*(1-$C$9),IF(AF$16&gt;=('Model_Assumptions'!$C$8 + 1), AF$18*(1-$D$9), ""))))</f>
        <v/>
      </c>
      <c r="AG19" s="21">
        <f>IF(AG$16="","", IF(AG$16=('Model_Assumptions'!$B$8+1), AG$18*(1-$E$9),IF(AG$16&lt;='Model_Assumptions'!$C$8,AG$18*(1-$C$9),IF(AG$16&gt;=('Model_Assumptions'!$C$8 + 1), AG$18*(1-$D$9), ""))))</f>
        <v/>
      </c>
      <c r="AH19" s="21">
        <f>IF(AH$16="","", IF(AH$16=('Model_Assumptions'!$B$8+1), AH$18*(1-$E$9),IF(AH$16&lt;='Model_Assumptions'!$C$8,AH$18*(1-$C$9),IF(AH$16&gt;=('Model_Assumptions'!$C$8 + 1), AH$18*(1-$D$9), ""))))</f>
        <v/>
      </c>
      <c r="AI19" s="21">
        <f>IF(AI$16="","", IF(AI$16=('Model_Assumptions'!$B$8+1), AI$18*(1-$E$9),IF(AI$16&lt;='Model_Assumptions'!$C$8,AI$18*(1-$C$9),IF(AI$16&gt;=('Model_Assumptions'!$C$8 + 1), AI$18*(1-$D$9), ""))))</f>
        <v/>
      </c>
      <c r="AJ19" s="21">
        <f>IF(AJ$16="","", IF(AJ$16=('Model_Assumptions'!$B$8+1), AJ$18*(1-$E$9),IF(AJ$16&lt;='Model_Assumptions'!$C$8,AJ$18*(1-$C$9),IF(AJ$16&gt;=('Model_Assumptions'!$C$8 + 1), AJ$18*(1-$D$9), ""))))</f>
        <v/>
      </c>
      <c r="AK19" s="21">
        <f>IF(AK$16="","", IF(AK$16=('Model_Assumptions'!$B$8+1), AK$18*(1-$E$9),IF(AK$16&lt;='Model_Assumptions'!$C$8,AK$18*(1-$C$9),IF(AK$16&gt;=('Model_Assumptions'!$C$8 + 1), AK$18*(1-$D$9), ""))))</f>
        <v/>
      </c>
      <c r="AL19" s="21">
        <f>IF(AL$16="","", IF(AL$16=('Model_Assumptions'!$B$8+1), AL$18*(1-$E$9),IF(AL$16&lt;='Model_Assumptions'!$C$8,AL$18*(1-$C$9),IF(AL$16&gt;=('Model_Assumptions'!$C$8 + 1), AL$18*(1-$D$9), ""))))</f>
        <v/>
      </c>
      <c r="AM19" s="21">
        <f>IF(AM$16="","", IF(AM$16=('Model_Assumptions'!$B$8+1), AM$18*(1-$E$9),IF(AM$16&lt;='Model_Assumptions'!$C$8,AM$18*(1-$C$9),IF(AM$16&gt;=('Model_Assumptions'!$C$8 + 1), AM$18*(1-$D$9), ""))))</f>
        <v/>
      </c>
      <c r="AN19" s="21">
        <f>IF(AN$16="","", IF(AN$16=('Model_Assumptions'!$B$8+1), AN$18*(1-$E$9),IF(AN$16&lt;='Model_Assumptions'!$C$8,AN$18*(1-$C$9),IF(AN$16&gt;=('Model_Assumptions'!$C$8 + 1), AN$18*(1-$D$9), ""))))</f>
        <v/>
      </c>
      <c r="AO19" s="21">
        <f>IF(AO$16="","", IF(AO$16=('Model_Assumptions'!$B$8+1), AO$18*(1-$E$9),IF(AO$16&lt;='Model_Assumptions'!$C$8,AO$18*(1-$C$9),IF(AO$16&gt;=('Model_Assumptions'!$C$8 + 1), AO$18*(1-$D$9), ""))))</f>
        <v/>
      </c>
      <c r="AP19" s="21">
        <f>IF(AP$16="","", IF(AP$16=('Model_Assumptions'!$B$8+1), AP$18*(1-$E$9),IF(AP$16&lt;='Model_Assumptions'!$C$8,AP$18*(1-$C$9),IF(AP$16&gt;=('Model_Assumptions'!$C$8 + 1), AP$18*(1-$D$9), ""))))</f>
        <v/>
      </c>
      <c r="AQ19" s="21">
        <f>IF(AQ$16="","", IF(AQ$16=('Model_Assumptions'!$B$8+1), AQ$18*(1-$E$9),IF(AQ$16&lt;='Model_Assumptions'!$C$8,AQ$18*(1-$C$9),IF(AQ$16&gt;=('Model_Assumptions'!$C$8 + 1), AQ$18*(1-$D$9), ""))))</f>
        <v/>
      </c>
      <c r="AR19" s="21">
        <f>IF(AR$16="","", IF(AR$16=('Model_Assumptions'!$B$8+1), AR$18*(1-$E$9),IF(AR$16&lt;='Model_Assumptions'!$C$8,AR$18*(1-$C$9),IF(AR$16&gt;=('Model_Assumptions'!$C$8 + 1), AR$18*(1-$D$9), ""))))</f>
        <v/>
      </c>
      <c r="AS19" s="21">
        <f>IF(AS$16="","", IF(AS$16=('Model_Assumptions'!$B$8+1), AS$18*(1-$E$9),IF(AS$16&lt;='Model_Assumptions'!$C$8,AS$18*(1-$C$9),IF(AS$16&gt;=('Model_Assumptions'!$C$8 + 1), AS$18*(1-$D$9), ""))))</f>
        <v/>
      </c>
      <c r="AT19" s="21">
        <f>IF(AT$16="","", IF(AT$16=('Model_Assumptions'!$B$8+1), AT$18*(1-$E$9),IF(AT$16&lt;='Model_Assumptions'!$C$8,AT$18*(1-$C$9),IF(AT$16&gt;=('Model_Assumptions'!$C$8 + 1), AT$18*(1-$D$9), ""))))</f>
        <v/>
      </c>
      <c r="AU19" s="21">
        <f>IF(AU$16="","", IF(AU$16=('Model_Assumptions'!$B$8+1), AU$18*(1-$E$9),IF(AU$16&lt;='Model_Assumptions'!$C$8,AU$18*(1-$C$9),IF(AU$16&gt;=('Model_Assumptions'!$C$8 + 1), AU$18*(1-$D$9), ""))))</f>
        <v/>
      </c>
      <c r="AV19" s="21">
        <f>IF(AV$16="","", IF(AV$16=('Model_Assumptions'!$B$8+1), AV$18*(1-$E$9),IF(AV$16&lt;='Model_Assumptions'!$C$8,AV$18*(1-$C$9),IF(AV$16&gt;=('Model_Assumptions'!$C$8 + 1), AV$18*(1-$D$9), ""))))</f>
        <v/>
      </c>
      <c r="AW19" s="21">
        <f>IF(AW$16="","", IF(AW$16=('Model_Assumptions'!$B$8+1), AW$18*(1-$E$9),IF(AW$16&lt;='Model_Assumptions'!$C$8,AW$18*(1-$C$9),IF(AW$16&gt;=('Model_Assumptions'!$C$8 + 1), AW$18*(1-$D$9), ""))))</f>
        <v/>
      </c>
      <c r="AX19" s="21">
        <f>IF(AX$16="","", IF(AX$16=('Model_Assumptions'!$B$8+1), AX$18*(1-$E$9),IF(AX$16&lt;='Model_Assumptions'!$C$8,AX$18*(1-$C$9),IF(AX$16&gt;=('Model_Assumptions'!$C$8 + 1), AX$18*(1-$D$9), ""))))</f>
        <v/>
      </c>
      <c r="AY19" s="21">
        <f>IF(AY$16="","", IF(AY$16=('Model_Assumptions'!$B$8+1), AY$18*(1-$E$9),IF(AY$16&lt;='Model_Assumptions'!$C$8,AY$18*(1-$C$9),IF(AY$16&gt;=('Model_Assumptions'!$C$8 + 1), AY$18*(1-$D$9), ""))))</f>
        <v/>
      </c>
      <c r="AZ19" s="21">
        <f>IF(AZ$16="","", IF(AZ$16=('Model_Assumptions'!$B$8+1), AZ$18*(1-$E$9),IF(AZ$16&lt;='Model_Assumptions'!$C$8,AZ$18*(1-$C$9),IF(AZ$16&gt;=('Model_Assumptions'!$C$8 + 1), AZ$18*(1-$D$9), ""))))</f>
        <v/>
      </c>
      <c r="BA19" s="21">
        <f>IF(BA$16="","", IF(BA$16=('Model_Assumptions'!$B$8+1), BA$18*(1-$E$9),IF(BA$16&lt;='Model_Assumptions'!$C$8,BA$18*(1-$C$9),IF(BA$16&gt;=('Model_Assumptions'!$C$8 + 1), BA$18*(1-$D$9), ""))))</f>
        <v/>
      </c>
      <c r="BB19" s="21">
        <f>IF(BB$16="","", IF(BB$16=('Model_Assumptions'!$B$8+1), BB$18*(1-$E$9),IF(BB$16&lt;='Model_Assumptions'!$C$8,BB$18*(1-$C$9),IF(BB$16&gt;=('Model_Assumptions'!$C$8 + 1), BB$18*(1-$D$9), ""))))</f>
        <v/>
      </c>
      <c r="BC19" s="21">
        <f>IF(BC$16="","", IF(BC$16=('Model_Assumptions'!$B$8+1), BC$18*(1-$E$9),IF(BC$16&lt;='Model_Assumptions'!$C$8,BC$18*(1-$C$9),IF(BC$16&gt;=('Model_Assumptions'!$C$8 + 1), BC$18*(1-$D$9), ""))))</f>
        <v/>
      </c>
      <c r="BD19" s="21">
        <f>IF(BD$16="","", IF(BD$16=('Model_Assumptions'!$B$8+1), BD$18*(1-$E$9),IF(BD$16&lt;='Model_Assumptions'!$C$8,BD$18*(1-$C$9),IF(BD$16&gt;=('Model_Assumptions'!$C$8 + 1), BD$18*(1-$D$9), ""))))</f>
        <v/>
      </c>
      <c r="BE19" s="21">
        <f>IF(BE$16="","", IF(BE$16=('Model_Assumptions'!$B$8+1), BE$18*(1-$E$9),IF(BE$16&lt;='Model_Assumptions'!$C$8,BE$18*(1-$C$9),IF(BE$16&gt;=('Model_Assumptions'!$C$8 + 1), BE$18*(1-$D$9), ""))))</f>
        <v/>
      </c>
      <c r="BF19" s="21">
        <f>IF(BF$16="","", IF(BF$16=('Model_Assumptions'!$B$8+1), BF$18*(1-$E$9),IF(BF$16&lt;='Model_Assumptions'!$C$8,BF$18*(1-$C$9),IF(BF$16&gt;=('Model_Assumptions'!$C$8 + 1), BF$18*(1-$D$9), ""))))</f>
        <v/>
      </c>
      <c r="BG19" s="21">
        <f>IF(BG$16="","", IF(BG$16=('Model_Assumptions'!$B$8+1), BG$18*(1-$E$9),IF(BG$16&lt;='Model_Assumptions'!$C$8,BG$18*(1-$C$9),IF(BG$16&gt;=('Model_Assumptions'!$C$8 + 1), BG$18*(1-$D$9), ""))))</f>
        <v/>
      </c>
      <c r="BH19" s="21">
        <f>IF(BH$16="","", IF(BH$16=('Model_Assumptions'!$B$8+1), BH$18*(1-$E$9),IF(BH$16&lt;='Model_Assumptions'!$C$8,BH$18*(1-$C$9),IF(BH$16&gt;=('Model_Assumptions'!$C$8 + 1), BH$18*(1-$D$9), ""))))</f>
        <v/>
      </c>
      <c r="BI19" s="21">
        <f>IF(BI$16="","", IF(BI$16=('Model_Assumptions'!$B$8+1), BI$18*(1-$E$9),IF(BI$16&lt;='Model_Assumptions'!$C$8,BI$18*(1-$C$9),IF(BI$16&gt;=('Model_Assumptions'!$C$8 + 1), BI$18*(1-$D$9), ""))))</f>
        <v/>
      </c>
      <c r="BJ19" s="21">
        <f>IF(BJ$16="","", IF(BJ$16=('Model_Assumptions'!$B$8+1), BJ$18*(1-$E$9),IF(BJ$16&lt;='Model_Assumptions'!$C$8,BJ$18*(1-$C$9),IF(BJ$16&gt;=('Model_Assumptions'!$C$8 + 1), BJ$18*(1-$D$9), ""))))</f>
        <v/>
      </c>
      <c r="BK19" s="21">
        <f>IF(BK$16="","", IF(BK$16=('Model_Assumptions'!$B$8+1), BK$18*(1-$E$9),IF(BK$16&lt;='Model_Assumptions'!$C$8,BK$18*(1-$C$9),IF(BK$16&gt;=('Model_Assumptions'!$C$8 + 1), BK$18*(1-$D$9), ""))))</f>
        <v/>
      </c>
      <c r="BL19" s="21">
        <f>IF(BL$16="","", IF(BL$16=('Model_Assumptions'!$B$8+1), BL$18*(1-$E$9),IF(BL$16&lt;='Model_Assumptions'!$C$8,BL$18*(1-$C$9),IF(BL$16&gt;=('Model_Assumptions'!$C$8 + 1), BL$18*(1-$D$9), ""))))</f>
        <v/>
      </c>
      <c r="BM19" s="21">
        <f>IF(BM$16="","", IF(BM$16=('Model_Assumptions'!$B$8+1), BM$18*(1-$E$9),IF(BM$16&lt;='Model_Assumptions'!$C$8,BM$18*(1-$C$9),IF(BM$16&gt;=('Model_Assumptions'!$C$8 + 1), BM$18*(1-$D$9), ""))))</f>
        <v/>
      </c>
      <c r="BN19" s="21">
        <f>IF(BN$16="","", IF(BN$16=('Model_Assumptions'!$B$8+1), BN$18*(1-$E$9),IF(BN$16&lt;='Model_Assumptions'!$C$8,BN$18*(1-$C$9),IF(BN$16&gt;=('Model_Assumptions'!$C$8 + 1), BN$18*(1-$D$9), ""))))</f>
        <v/>
      </c>
      <c r="BO19" s="21">
        <f>IF(BO$16="","", IF(BO$16=('Model_Assumptions'!$B$8+1), BO$18*(1-$E$9),IF(BO$16&lt;='Model_Assumptions'!$C$8,BO$18*(1-$C$9),IF(BO$16&gt;=('Model_Assumptions'!$C$8 + 1), BO$18*(1-$D$9), ""))))</f>
        <v/>
      </c>
      <c r="BP19" s="21">
        <f>IF(BP$16="","", IF(BP$16=('Model_Assumptions'!$B$8+1), BP$18*(1-$E$9),IF(BP$16&lt;='Model_Assumptions'!$C$8,BP$18*(1-$C$9),IF(BP$16&gt;=('Model_Assumptions'!$C$8 + 1), BP$18*(1-$D$9), ""))))</f>
        <v/>
      </c>
      <c r="BQ19" s="21">
        <f>IF(BQ$16="","", IF(BQ$16=('Model_Assumptions'!$B$8+1), BQ$18*(1-$E$9),IF(BQ$16&lt;='Model_Assumptions'!$C$8,BQ$18*(1-$C$9),IF(BQ$16&gt;=('Model_Assumptions'!$C$8 + 1), BQ$18*(1-$D$9), ""))))</f>
        <v/>
      </c>
      <c r="BR19" s="21">
        <f>IF(BR$16="","", IF(BR$16=('Model_Assumptions'!$B$8+1), BR$18*(1-$E$9),IF(BR$16&lt;='Model_Assumptions'!$C$8,BR$18*(1-$C$9),IF(BR$16&gt;=('Model_Assumptions'!$C$8 + 1), BR$18*(1-$D$9), ""))))</f>
        <v/>
      </c>
      <c r="BS19" s="21">
        <f>IF(BS$16="","", IF(BS$16=('Model_Assumptions'!$B$8+1), BS$18*(1-$E$9),IF(BS$16&lt;='Model_Assumptions'!$C$8,BS$18*(1-$C$9),IF(BS$16&gt;=('Model_Assumptions'!$C$8 + 1), BS$18*(1-$D$9), ""))))</f>
        <v/>
      </c>
      <c r="BT19" s="21">
        <f>IF(BT$16="","", IF(BT$16=('Model_Assumptions'!$B$8+1), BT$18*(1-$E$9),IF(BT$16&lt;='Model_Assumptions'!$C$8,BT$18*(1-$C$9),IF(BT$16&gt;=('Model_Assumptions'!$C$8 + 1), BT$18*(1-$D$9), ""))))</f>
        <v/>
      </c>
      <c r="BU19" s="21">
        <f>IF(BU$16="","", IF(BU$16=('Model_Assumptions'!$B$8+1), BU$18*(1-$E$9),IF(BU$16&lt;='Model_Assumptions'!$C$8,BU$18*(1-$C$9),IF(BU$16&gt;=('Model_Assumptions'!$C$8 + 1), BU$18*(1-$D$9), ""))))</f>
        <v/>
      </c>
      <c r="BV19" s="21">
        <f>IF(BV$16="","", IF(BV$16=('Model_Assumptions'!$B$8+1), BV$18*(1-$E$9),IF(BV$16&lt;='Model_Assumptions'!$C$8,BV$18*(1-$C$9),IF(BV$16&gt;=('Model_Assumptions'!$C$8 + 1), BV$18*(1-$D$9), ""))))</f>
        <v/>
      </c>
      <c r="BW19" s="21">
        <f>IF(BW$16="","", IF(BW$16=('Model_Assumptions'!$B$8+1), BW$18*(1-$E$9),IF(BW$16&lt;='Model_Assumptions'!$C$8,BW$18*(1-$C$9),IF(BW$16&gt;=('Model_Assumptions'!$C$8 + 1), BW$18*(1-$D$9), ""))))</f>
        <v/>
      </c>
      <c r="BX19" s="21">
        <f>IF(BX$16="","", IF(BX$16=('Model_Assumptions'!$B$8+1), BX$18*(1-$E$9),IF(BX$16&lt;='Model_Assumptions'!$C$8,BX$18*(1-$C$9),IF(BX$16&gt;=('Model_Assumptions'!$C$8 + 1), BX$18*(1-$D$9), ""))))</f>
        <v/>
      </c>
      <c r="BY19" s="21">
        <f>IF(BY$16="","", IF(BY$16=('Model_Assumptions'!$B$8+1), BY$18*(1-$E$9),IF(BY$16&lt;='Model_Assumptions'!$C$8,BY$18*(1-$C$9),IF(BY$16&gt;=('Model_Assumptions'!$C$8 + 1), BY$18*(1-$D$9), ""))))</f>
        <v/>
      </c>
      <c r="BZ19" s="21">
        <f>IF(BZ$16="","", IF(BZ$16=('Model_Assumptions'!$B$8+1), BZ$18*(1-$E$9),IF(BZ$16&lt;='Model_Assumptions'!$C$8,BZ$18*(1-$C$9),IF(BZ$16&gt;=('Model_Assumptions'!$C$8 + 1), BZ$18*(1-$D$9), ""))))</f>
        <v/>
      </c>
      <c r="CA19" s="21">
        <f>IF(CA$16="","", IF(CA$16=('Model_Assumptions'!$B$8+1), CA$18*(1-$E$9),IF(CA$16&lt;='Model_Assumptions'!$C$8,CA$18*(1-$C$9),IF(CA$16&gt;=('Model_Assumptions'!$C$8 + 1), CA$18*(1-$D$9), ""))))</f>
        <v/>
      </c>
      <c r="CB19" s="21">
        <f>IF(CB$16="","", IF(CB$16=('Model_Assumptions'!$B$8+1), CB$18*(1-$E$9),IF(CB$16&lt;='Model_Assumptions'!$C$8,CB$18*(1-$C$9),IF(CB$16&gt;=('Model_Assumptions'!$C$8 + 1), CB$18*(1-$D$9), ""))))</f>
        <v/>
      </c>
      <c r="CC19" s="21">
        <f>IF(CC$16="","", IF(CC$16=('Model_Assumptions'!$B$8+1), CC$18*(1-$E$9),IF(CC$16&lt;='Model_Assumptions'!$C$8,CC$18*(1-$C$9),IF(CC$16&gt;=('Model_Assumptions'!$C$8 + 1), CC$18*(1-$D$9), ""))))</f>
        <v/>
      </c>
      <c r="CD19" s="21">
        <f>IF(CD$16="","", IF(CD$16=('Model_Assumptions'!$B$8+1), CD$18*(1-$E$9),IF(CD$16&lt;='Model_Assumptions'!$C$8,CD$18*(1-$C$9),IF(CD$16&gt;=('Model_Assumptions'!$C$8 + 1), CD$18*(1-$D$9), ""))))</f>
        <v/>
      </c>
      <c r="CE19" s="21">
        <f>IF(CE$16="","", IF(CE$16=('Model_Assumptions'!$B$8+1), CE$18*(1-$E$9),IF(CE$16&lt;='Model_Assumptions'!$C$8,CE$18*(1-$C$9),IF(CE$16&gt;=('Model_Assumptions'!$C$8 + 1), CE$18*(1-$D$9), ""))))</f>
        <v/>
      </c>
      <c r="CF19" s="21">
        <f>IF(CF$16="","", IF(CF$16=('Model_Assumptions'!$B$8+1), CF$18*(1-$E$9),IF(CF$16&lt;='Model_Assumptions'!$C$8,CF$18*(1-$C$9),IF(CF$16&gt;=('Model_Assumptions'!$C$8 + 1), CF$18*(1-$D$9), ""))))</f>
        <v/>
      </c>
      <c r="CG19" s="21">
        <f>IF(CG$16="","", IF(CG$16=('Model_Assumptions'!$B$8+1), CG$18*(1-$E$9),IF(CG$16&lt;='Model_Assumptions'!$C$8,CG$18*(1-$C$9),IF(CG$16&gt;=('Model_Assumptions'!$C$8 + 1), CG$18*(1-$D$9), ""))))</f>
        <v/>
      </c>
      <c r="CH19" s="21">
        <f>IF(CH$16="","", IF(CH$16=('Model_Assumptions'!$B$8+1), CH$18*(1-$E$9),IF(CH$16&lt;='Model_Assumptions'!$C$8,CH$18*(1-$C$9),IF(CH$16&gt;=('Model_Assumptions'!$C$8 + 1), CH$18*(1-$D$9), ""))))</f>
        <v/>
      </c>
      <c r="CI19" s="21">
        <f>IF(CI$16="","", IF(CI$16=('Model_Assumptions'!$B$8+1), CI$18*(1-$E$9),IF(CI$16&lt;='Model_Assumptions'!$C$8,CI$18*(1-$C$9),IF(CI$16&gt;=('Model_Assumptions'!$C$8 + 1), CI$18*(1-$D$9), ""))))</f>
        <v/>
      </c>
      <c r="CJ19" s="21">
        <f>IF(CJ$16="","", IF(CJ$16=('Model_Assumptions'!$B$8+1), CJ$18*(1-$E$9),IF(CJ$16&lt;='Model_Assumptions'!$C$8,CJ$18*(1-$C$9),IF(CJ$16&gt;=('Model_Assumptions'!$C$8 + 1), CJ$18*(1-$D$9), ""))))</f>
        <v/>
      </c>
      <c r="CK19" s="21">
        <f>IF(CK$16="","", IF(CK$16=('Model_Assumptions'!$B$8+1), CK$18*(1-$E$9),IF(CK$16&lt;='Model_Assumptions'!$C$8,CK$18*(1-$C$9),IF(CK$16&gt;=('Model_Assumptions'!$C$8 + 1), CK$18*(1-$D$9), ""))))</f>
        <v/>
      </c>
      <c r="CL19" s="21">
        <f>IF(CL$16="","", IF(CL$16=('Model_Assumptions'!$B$8+1), CL$18*(1-$E$9),IF(CL$16&lt;='Model_Assumptions'!$C$8,CL$18*(1-$C$9),IF(CL$16&gt;=('Model_Assumptions'!$C$8 + 1), CL$18*(1-$D$9), ""))))</f>
        <v/>
      </c>
      <c r="CM19" s="22">
        <f>IF(CM$16="","", IF(CM$16=('Model_Assumptions'!$B$8+1), CM$18*(1-$E$9),IF(CM$16&lt;='Model_Assumptions'!$C$8,CM$18*(1-$C$9),IF(CM$16&gt;=('Model_Assumptions'!$C$8 + 1), CM$18*(1-$D$9), ""))))</f>
        <v/>
      </c>
    </row>
    <row r="20">
      <c r="B20" s="19" t="inlineStr">
        <is>
          <t>Depreciation</t>
        </is>
      </c>
      <c r="C20" s="20" t="inlineStr"/>
      <c r="D20" s="21">
        <f>IF(D$16="","",IF(D$16=('Model_Assumptions'!$B$8+1), D$17*$E$11,IF(D$16&lt;='Model_Assumptions'!$C$8,D$17*$C$11,IF(D$16&gt;=('Model_Assumptions'!$C$8 + 1), D$17*$D$11, ""))))</f>
        <v/>
      </c>
      <c r="E20" s="21">
        <f>IF(E$16="","",IF(E$16=('Model_Assumptions'!$B$8+1), E$17*$E$11,IF(E$16&lt;='Model_Assumptions'!$C$8,E$17*$C$11,IF(E$16&gt;=('Model_Assumptions'!$C$8 + 1), E$17*$D$11, ""))))</f>
        <v/>
      </c>
      <c r="F20" s="21">
        <f>IF(F$16="","",IF(F$16=('Model_Assumptions'!$B$8+1), F$17*$E$11,IF(F$16&lt;='Model_Assumptions'!$C$8,F$17*$C$11,IF(F$16&gt;=('Model_Assumptions'!$C$8 + 1), F$17*$D$11, ""))))</f>
        <v/>
      </c>
      <c r="G20" s="21">
        <f>IF(G$16="","",IF(G$16=('Model_Assumptions'!$B$8+1), G$17*$E$11,IF(G$16&lt;='Model_Assumptions'!$C$8,G$17*$C$11,IF(G$16&gt;=('Model_Assumptions'!$C$8 + 1), G$17*$D$11, ""))))</f>
        <v/>
      </c>
      <c r="H20" s="21">
        <f>IF(H$16="","",IF(H$16=('Model_Assumptions'!$B$8+1), H$17*$E$11,IF(H$16&lt;='Model_Assumptions'!$C$8,H$17*$C$11,IF(H$16&gt;=('Model_Assumptions'!$C$8 + 1), H$17*$D$11, ""))))</f>
        <v/>
      </c>
      <c r="I20" s="21">
        <f>IF(I$16="","",IF(I$16=('Model_Assumptions'!$B$8+1), I$17*$E$11,IF(I$16&lt;='Model_Assumptions'!$C$8,I$17*$C$11,IF(I$16&gt;=('Model_Assumptions'!$C$8 + 1), I$17*$D$11, ""))))</f>
        <v/>
      </c>
      <c r="J20" s="21">
        <f>IF(J$16="","",IF(J$16=('Model_Assumptions'!$B$8+1), J$17*$E$11,IF(J$16&lt;='Model_Assumptions'!$C$8,J$17*$C$11,IF(J$16&gt;=('Model_Assumptions'!$C$8 + 1), J$17*$D$11, ""))))</f>
        <v/>
      </c>
      <c r="K20" s="21">
        <f>IF(K$16="","",IF(K$16=('Model_Assumptions'!$B$8+1), K$17*$E$11,IF(K$16&lt;='Model_Assumptions'!$C$8,K$17*$C$11,IF(K$16&gt;=('Model_Assumptions'!$C$8 + 1), K$17*$D$11, ""))))</f>
        <v/>
      </c>
      <c r="L20" s="21">
        <f>IF(L$16="","",IF(L$16=('Model_Assumptions'!$B$8+1), L$17*$E$11,IF(L$16&lt;='Model_Assumptions'!$C$8,L$17*$C$11,IF(L$16&gt;=('Model_Assumptions'!$C$8 + 1), L$17*$D$11, ""))))</f>
        <v/>
      </c>
      <c r="M20" s="21">
        <f>IF(M$16="","",IF(M$16=('Model_Assumptions'!$B$8+1), M$17*$E$11,IF(M$16&lt;='Model_Assumptions'!$C$8,M$17*$C$11,IF(M$16&gt;=('Model_Assumptions'!$C$8 + 1), M$17*$D$11, ""))))</f>
        <v/>
      </c>
      <c r="N20" s="21">
        <f>IF(N$16="","",IF(N$16=('Model_Assumptions'!$B$8+1), N$17*$E$11,IF(N$16&lt;='Model_Assumptions'!$C$8,N$17*$C$11,IF(N$16&gt;=('Model_Assumptions'!$C$8 + 1), N$17*$D$11, ""))))</f>
        <v/>
      </c>
      <c r="O20" s="21">
        <f>IF(O$16="","",IF(O$16=('Model_Assumptions'!$B$8+1), O$17*$E$11,IF(O$16&lt;='Model_Assumptions'!$C$8,O$17*$C$11,IF(O$16&gt;=('Model_Assumptions'!$C$8 + 1), O$17*$D$11, ""))))</f>
        <v/>
      </c>
      <c r="P20" s="21">
        <f>IF(P$16="","",IF(P$16=('Model_Assumptions'!$B$8+1), P$17*$E$11,IF(P$16&lt;='Model_Assumptions'!$C$8,P$17*$C$11,IF(P$16&gt;=('Model_Assumptions'!$C$8 + 1), P$17*$D$11, ""))))</f>
        <v/>
      </c>
      <c r="Q20" s="21">
        <f>IF(Q$16="","",IF(Q$16=('Model_Assumptions'!$B$8+1), Q$17*$E$11,IF(Q$16&lt;='Model_Assumptions'!$C$8,Q$17*$C$11,IF(Q$16&gt;=('Model_Assumptions'!$C$8 + 1), Q$17*$D$11, ""))))</f>
        <v/>
      </c>
      <c r="R20" s="21">
        <f>IF(R$16="","",IF(R$16=('Model_Assumptions'!$B$8+1), R$17*$E$11,IF(R$16&lt;='Model_Assumptions'!$C$8,R$17*$C$11,IF(R$16&gt;=('Model_Assumptions'!$C$8 + 1), R$17*$D$11, ""))))</f>
        <v/>
      </c>
      <c r="S20" s="21">
        <f>IF(S$16="","",IF(S$16=('Model_Assumptions'!$B$8+1), S$17*$E$11,IF(S$16&lt;='Model_Assumptions'!$C$8,S$17*$C$11,IF(S$16&gt;=('Model_Assumptions'!$C$8 + 1), S$17*$D$11, ""))))</f>
        <v/>
      </c>
      <c r="T20" s="21">
        <f>IF(T$16="","",IF(T$16=('Model_Assumptions'!$B$8+1), T$17*$E$11,IF(T$16&lt;='Model_Assumptions'!$C$8,T$17*$C$11,IF(T$16&gt;=('Model_Assumptions'!$C$8 + 1), T$17*$D$11, ""))))</f>
        <v/>
      </c>
      <c r="U20" s="21">
        <f>IF(U$16="","",IF(U$16=('Model_Assumptions'!$B$8+1), U$17*$E$11,IF(U$16&lt;='Model_Assumptions'!$C$8,U$17*$C$11,IF(U$16&gt;=('Model_Assumptions'!$C$8 + 1), U$17*$D$11, ""))))</f>
        <v/>
      </c>
      <c r="V20" s="21">
        <f>IF(V$16="","",IF(V$16=('Model_Assumptions'!$B$8+1), V$17*$E$11,IF(V$16&lt;='Model_Assumptions'!$C$8,V$17*$C$11,IF(V$16&gt;=('Model_Assumptions'!$C$8 + 1), V$17*$D$11, ""))))</f>
        <v/>
      </c>
      <c r="W20" s="21">
        <f>IF(W$16="","",IF(W$16=('Model_Assumptions'!$B$8+1), W$17*$E$11,IF(W$16&lt;='Model_Assumptions'!$C$8,W$17*$C$11,IF(W$16&gt;=('Model_Assumptions'!$C$8 + 1), W$17*$D$11, ""))))</f>
        <v/>
      </c>
      <c r="X20" s="21">
        <f>IF(X$16="","",IF(X$16=('Model_Assumptions'!$B$8+1), X$17*$E$11,IF(X$16&lt;='Model_Assumptions'!$C$8,X$17*$C$11,IF(X$16&gt;=('Model_Assumptions'!$C$8 + 1), X$17*$D$11, ""))))</f>
        <v/>
      </c>
      <c r="Y20" s="21">
        <f>IF(Y$16="","",IF(Y$16=('Model_Assumptions'!$B$8+1), Y$17*$E$11,IF(Y$16&lt;='Model_Assumptions'!$C$8,Y$17*$C$11,IF(Y$16&gt;=('Model_Assumptions'!$C$8 + 1), Y$17*$D$11, ""))))</f>
        <v/>
      </c>
      <c r="Z20" s="21">
        <f>IF(Z$16="","",IF(Z$16=('Model_Assumptions'!$B$8+1), Z$17*$E$11,IF(Z$16&lt;='Model_Assumptions'!$C$8,Z$17*$C$11,IF(Z$16&gt;=('Model_Assumptions'!$C$8 + 1), Z$17*$D$11, ""))))</f>
        <v/>
      </c>
      <c r="AA20" s="21">
        <f>IF(AA$16="","",IF(AA$16=('Model_Assumptions'!$B$8+1), AA$17*$E$11,IF(AA$16&lt;='Model_Assumptions'!$C$8,AA$17*$C$11,IF(AA$16&gt;=('Model_Assumptions'!$C$8 + 1), AA$17*$D$11, ""))))</f>
        <v/>
      </c>
      <c r="AB20" s="21">
        <f>IF(AB$16="","",IF(AB$16=('Model_Assumptions'!$B$8+1), AB$17*$E$11,IF(AB$16&lt;='Model_Assumptions'!$C$8,AB$17*$C$11,IF(AB$16&gt;=('Model_Assumptions'!$C$8 + 1), AB$17*$D$11, ""))))</f>
        <v/>
      </c>
      <c r="AC20" s="21">
        <f>IF(AC$16="","",IF(AC$16=('Model_Assumptions'!$B$8+1), AC$17*$E$11,IF(AC$16&lt;='Model_Assumptions'!$C$8,AC$17*$C$11,IF(AC$16&gt;=('Model_Assumptions'!$C$8 + 1), AC$17*$D$11, ""))))</f>
        <v/>
      </c>
      <c r="AD20" s="21">
        <f>IF(AD$16="","",IF(AD$16=('Model_Assumptions'!$B$8+1), AD$17*$E$11,IF(AD$16&lt;='Model_Assumptions'!$C$8,AD$17*$C$11,IF(AD$16&gt;=('Model_Assumptions'!$C$8 + 1), AD$17*$D$11, ""))))</f>
        <v/>
      </c>
      <c r="AE20" s="21">
        <f>IF(AE$16="","",IF(AE$16=('Model_Assumptions'!$B$8+1), AE$17*$E$11,IF(AE$16&lt;='Model_Assumptions'!$C$8,AE$17*$C$11,IF(AE$16&gt;=('Model_Assumptions'!$C$8 + 1), AE$17*$D$11, ""))))</f>
        <v/>
      </c>
      <c r="AF20" s="21">
        <f>IF(AF$16="","",IF(AF$16=('Model_Assumptions'!$B$8+1), AF$17*$E$11,IF(AF$16&lt;='Model_Assumptions'!$C$8,AF$17*$C$11,IF(AF$16&gt;=('Model_Assumptions'!$C$8 + 1), AF$17*$D$11, ""))))</f>
        <v/>
      </c>
      <c r="AG20" s="21">
        <f>IF(AG$16="","",IF(AG$16=('Model_Assumptions'!$B$8+1), AG$17*$E$11,IF(AG$16&lt;='Model_Assumptions'!$C$8,AG$17*$C$11,IF(AG$16&gt;=('Model_Assumptions'!$C$8 + 1), AG$17*$D$11, ""))))</f>
        <v/>
      </c>
      <c r="AH20" s="21">
        <f>IF(AH$16="","",IF(AH$16=('Model_Assumptions'!$B$8+1), AH$17*$E$11,IF(AH$16&lt;='Model_Assumptions'!$C$8,AH$17*$C$11,IF(AH$16&gt;=('Model_Assumptions'!$C$8 + 1), AH$17*$D$11, ""))))</f>
        <v/>
      </c>
      <c r="AI20" s="21">
        <f>IF(AI$16="","",IF(AI$16=('Model_Assumptions'!$B$8+1), AI$17*$E$11,IF(AI$16&lt;='Model_Assumptions'!$C$8,AI$17*$C$11,IF(AI$16&gt;=('Model_Assumptions'!$C$8 + 1), AI$17*$D$11, ""))))</f>
        <v/>
      </c>
      <c r="AJ20" s="21">
        <f>IF(AJ$16="","",IF(AJ$16=('Model_Assumptions'!$B$8+1), AJ$17*$E$11,IF(AJ$16&lt;='Model_Assumptions'!$C$8,AJ$17*$C$11,IF(AJ$16&gt;=('Model_Assumptions'!$C$8 + 1), AJ$17*$D$11, ""))))</f>
        <v/>
      </c>
      <c r="AK20" s="21">
        <f>IF(AK$16="","",IF(AK$16=('Model_Assumptions'!$B$8+1), AK$17*$E$11,IF(AK$16&lt;='Model_Assumptions'!$C$8,AK$17*$C$11,IF(AK$16&gt;=('Model_Assumptions'!$C$8 + 1), AK$17*$D$11, ""))))</f>
        <v/>
      </c>
      <c r="AL20" s="21">
        <f>IF(AL$16="","",IF(AL$16=('Model_Assumptions'!$B$8+1), AL$17*$E$11,IF(AL$16&lt;='Model_Assumptions'!$C$8,AL$17*$C$11,IF(AL$16&gt;=('Model_Assumptions'!$C$8 + 1), AL$17*$D$11, ""))))</f>
        <v/>
      </c>
      <c r="AM20" s="21">
        <f>IF(AM$16="","",IF(AM$16=('Model_Assumptions'!$B$8+1), AM$17*$E$11,IF(AM$16&lt;='Model_Assumptions'!$C$8,AM$17*$C$11,IF(AM$16&gt;=('Model_Assumptions'!$C$8 + 1), AM$17*$D$11, ""))))</f>
        <v/>
      </c>
      <c r="AN20" s="21">
        <f>IF(AN$16="","",IF(AN$16=('Model_Assumptions'!$B$8+1), AN$17*$E$11,IF(AN$16&lt;='Model_Assumptions'!$C$8,AN$17*$C$11,IF(AN$16&gt;=('Model_Assumptions'!$C$8 + 1), AN$17*$D$11, ""))))</f>
        <v/>
      </c>
      <c r="AO20" s="21">
        <f>IF(AO$16="","",IF(AO$16=('Model_Assumptions'!$B$8+1), AO$17*$E$11,IF(AO$16&lt;='Model_Assumptions'!$C$8,AO$17*$C$11,IF(AO$16&gt;=('Model_Assumptions'!$C$8 + 1), AO$17*$D$11, ""))))</f>
        <v/>
      </c>
      <c r="AP20" s="21">
        <f>IF(AP$16="","",IF(AP$16=('Model_Assumptions'!$B$8+1), AP$17*$E$11,IF(AP$16&lt;='Model_Assumptions'!$C$8,AP$17*$C$11,IF(AP$16&gt;=('Model_Assumptions'!$C$8 + 1), AP$17*$D$11, ""))))</f>
        <v/>
      </c>
      <c r="AQ20" s="21">
        <f>IF(AQ$16="","",IF(AQ$16=('Model_Assumptions'!$B$8+1), AQ$17*$E$11,IF(AQ$16&lt;='Model_Assumptions'!$C$8,AQ$17*$C$11,IF(AQ$16&gt;=('Model_Assumptions'!$C$8 + 1), AQ$17*$D$11, ""))))</f>
        <v/>
      </c>
      <c r="AR20" s="21">
        <f>IF(AR$16="","",IF(AR$16=('Model_Assumptions'!$B$8+1), AR$17*$E$11,IF(AR$16&lt;='Model_Assumptions'!$C$8,AR$17*$C$11,IF(AR$16&gt;=('Model_Assumptions'!$C$8 + 1), AR$17*$D$11, ""))))</f>
        <v/>
      </c>
      <c r="AS20" s="21">
        <f>IF(AS$16="","",IF(AS$16=('Model_Assumptions'!$B$8+1), AS$17*$E$11,IF(AS$16&lt;='Model_Assumptions'!$C$8,AS$17*$C$11,IF(AS$16&gt;=('Model_Assumptions'!$C$8 + 1), AS$17*$D$11, ""))))</f>
        <v/>
      </c>
      <c r="AT20" s="21">
        <f>IF(AT$16="","",IF(AT$16=('Model_Assumptions'!$B$8+1), AT$17*$E$11,IF(AT$16&lt;='Model_Assumptions'!$C$8,AT$17*$C$11,IF(AT$16&gt;=('Model_Assumptions'!$C$8 + 1), AT$17*$D$11, ""))))</f>
        <v/>
      </c>
      <c r="AU20" s="21">
        <f>IF(AU$16="","",IF(AU$16=('Model_Assumptions'!$B$8+1), AU$17*$E$11,IF(AU$16&lt;='Model_Assumptions'!$C$8,AU$17*$C$11,IF(AU$16&gt;=('Model_Assumptions'!$C$8 + 1), AU$17*$D$11, ""))))</f>
        <v/>
      </c>
      <c r="AV20" s="21">
        <f>IF(AV$16="","",IF(AV$16=('Model_Assumptions'!$B$8+1), AV$17*$E$11,IF(AV$16&lt;='Model_Assumptions'!$C$8,AV$17*$C$11,IF(AV$16&gt;=('Model_Assumptions'!$C$8 + 1), AV$17*$D$11, ""))))</f>
        <v/>
      </c>
      <c r="AW20" s="21">
        <f>IF(AW$16="","",IF(AW$16=('Model_Assumptions'!$B$8+1), AW$17*$E$11,IF(AW$16&lt;='Model_Assumptions'!$C$8,AW$17*$C$11,IF(AW$16&gt;=('Model_Assumptions'!$C$8 + 1), AW$17*$D$11, ""))))</f>
        <v/>
      </c>
      <c r="AX20" s="21">
        <f>IF(AX$16="","",IF(AX$16=('Model_Assumptions'!$B$8+1), AX$17*$E$11,IF(AX$16&lt;='Model_Assumptions'!$C$8,AX$17*$C$11,IF(AX$16&gt;=('Model_Assumptions'!$C$8 + 1), AX$17*$D$11, ""))))</f>
        <v/>
      </c>
      <c r="AY20" s="21">
        <f>IF(AY$16="","",IF(AY$16=('Model_Assumptions'!$B$8+1), AY$17*$E$11,IF(AY$16&lt;='Model_Assumptions'!$C$8,AY$17*$C$11,IF(AY$16&gt;=('Model_Assumptions'!$C$8 + 1), AY$17*$D$11, ""))))</f>
        <v/>
      </c>
      <c r="AZ20" s="21">
        <f>IF(AZ$16="","",IF(AZ$16=('Model_Assumptions'!$B$8+1), AZ$17*$E$11,IF(AZ$16&lt;='Model_Assumptions'!$C$8,AZ$17*$C$11,IF(AZ$16&gt;=('Model_Assumptions'!$C$8 + 1), AZ$17*$D$11, ""))))</f>
        <v/>
      </c>
      <c r="BA20" s="21">
        <f>IF(BA$16="","",IF(BA$16=('Model_Assumptions'!$B$8+1), BA$17*$E$11,IF(BA$16&lt;='Model_Assumptions'!$C$8,BA$17*$C$11,IF(BA$16&gt;=('Model_Assumptions'!$C$8 + 1), BA$17*$D$11, ""))))</f>
        <v/>
      </c>
      <c r="BB20" s="21">
        <f>IF(BB$16="","",IF(BB$16=('Model_Assumptions'!$B$8+1), BB$17*$E$11,IF(BB$16&lt;='Model_Assumptions'!$C$8,BB$17*$C$11,IF(BB$16&gt;=('Model_Assumptions'!$C$8 + 1), BB$17*$D$11, ""))))</f>
        <v/>
      </c>
      <c r="BC20" s="21">
        <f>IF(BC$16="","",IF(BC$16=('Model_Assumptions'!$B$8+1), BC$17*$E$11,IF(BC$16&lt;='Model_Assumptions'!$C$8,BC$17*$C$11,IF(BC$16&gt;=('Model_Assumptions'!$C$8 + 1), BC$17*$D$11, ""))))</f>
        <v/>
      </c>
      <c r="BD20" s="21">
        <f>IF(BD$16="","",IF(BD$16=('Model_Assumptions'!$B$8+1), BD$17*$E$11,IF(BD$16&lt;='Model_Assumptions'!$C$8,BD$17*$C$11,IF(BD$16&gt;=('Model_Assumptions'!$C$8 + 1), BD$17*$D$11, ""))))</f>
        <v/>
      </c>
      <c r="BE20" s="21">
        <f>IF(BE$16="","",IF(BE$16=('Model_Assumptions'!$B$8+1), BE$17*$E$11,IF(BE$16&lt;='Model_Assumptions'!$C$8,BE$17*$C$11,IF(BE$16&gt;=('Model_Assumptions'!$C$8 + 1), BE$17*$D$11, ""))))</f>
        <v/>
      </c>
      <c r="BF20" s="21">
        <f>IF(BF$16="","",IF(BF$16=('Model_Assumptions'!$B$8+1), BF$17*$E$11,IF(BF$16&lt;='Model_Assumptions'!$C$8,BF$17*$C$11,IF(BF$16&gt;=('Model_Assumptions'!$C$8 + 1), BF$17*$D$11, ""))))</f>
        <v/>
      </c>
      <c r="BG20" s="21">
        <f>IF(BG$16="","",IF(BG$16=('Model_Assumptions'!$B$8+1), BG$17*$E$11,IF(BG$16&lt;='Model_Assumptions'!$C$8,BG$17*$C$11,IF(BG$16&gt;=('Model_Assumptions'!$C$8 + 1), BG$17*$D$11, ""))))</f>
        <v/>
      </c>
      <c r="BH20" s="21">
        <f>IF(BH$16="","",IF(BH$16=('Model_Assumptions'!$B$8+1), BH$17*$E$11,IF(BH$16&lt;='Model_Assumptions'!$C$8,BH$17*$C$11,IF(BH$16&gt;=('Model_Assumptions'!$C$8 + 1), BH$17*$D$11, ""))))</f>
        <v/>
      </c>
      <c r="BI20" s="21">
        <f>IF(BI$16="","",IF(BI$16=('Model_Assumptions'!$B$8+1), BI$17*$E$11,IF(BI$16&lt;='Model_Assumptions'!$C$8,BI$17*$C$11,IF(BI$16&gt;=('Model_Assumptions'!$C$8 + 1), BI$17*$D$11, ""))))</f>
        <v/>
      </c>
      <c r="BJ20" s="21">
        <f>IF(BJ$16="","",IF(BJ$16=('Model_Assumptions'!$B$8+1), BJ$17*$E$11,IF(BJ$16&lt;='Model_Assumptions'!$C$8,BJ$17*$C$11,IF(BJ$16&gt;=('Model_Assumptions'!$C$8 + 1), BJ$17*$D$11, ""))))</f>
        <v/>
      </c>
      <c r="BK20" s="21">
        <f>IF(BK$16="","",IF(BK$16=('Model_Assumptions'!$B$8+1), BK$17*$E$11,IF(BK$16&lt;='Model_Assumptions'!$C$8,BK$17*$C$11,IF(BK$16&gt;=('Model_Assumptions'!$C$8 + 1), BK$17*$D$11, ""))))</f>
        <v/>
      </c>
      <c r="BL20" s="21">
        <f>IF(BL$16="","",IF(BL$16=('Model_Assumptions'!$B$8+1), BL$17*$E$11,IF(BL$16&lt;='Model_Assumptions'!$C$8,BL$17*$C$11,IF(BL$16&gt;=('Model_Assumptions'!$C$8 + 1), BL$17*$D$11, ""))))</f>
        <v/>
      </c>
      <c r="BM20" s="21">
        <f>IF(BM$16="","",IF(BM$16=('Model_Assumptions'!$B$8+1), BM$17*$E$11,IF(BM$16&lt;='Model_Assumptions'!$C$8,BM$17*$C$11,IF(BM$16&gt;=('Model_Assumptions'!$C$8 + 1), BM$17*$D$11, ""))))</f>
        <v/>
      </c>
      <c r="BN20" s="21">
        <f>IF(BN$16="","",IF(BN$16=('Model_Assumptions'!$B$8+1), BN$17*$E$11,IF(BN$16&lt;='Model_Assumptions'!$C$8,BN$17*$C$11,IF(BN$16&gt;=('Model_Assumptions'!$C$8 + 1), BN$17*$D$11, ""))))</f>
        <v/>
      </c>
      <c r="BO20" s="21">
        <f>IF(BO$16="","",IF(BO$16=('Model_Assumptions'!$B$8+1), BO$17*$E$11,IF(BO$16&lt;='Model_Assumptions'!$C$8,BO$17*$C$11,IF(BO$16&gt;=('Model_Assumptions'!$C$8 + 1), BO$17*$D$11, ""))))</f>
        <v/>
      </c>
      <c r="BP20" s="21">
        <f>IF(BP$16="","",IF(BP$16=('Model_Assumptions'!$B$8+1), BP$17*$E$11,IF(BP$16&lt;='Model_Assumptions'!$C$8,BP$17*$C$11,IF(BP$16&gt;=('Model_Assumptions'!$C$8 + 1), BP$17*$D$11, ""))))</f>
        <v/>
      </c>
      <c r="BQ20" s="21">
        <f>IF(BQ$16="","",IF(BQ$16=('Model_Assumptions'!$B$8+1), BQ$17*$E$11,IF(BQ$16&lt;='Model_Assumptions'!$C$8,BQ$17*$C$11,IF(BQ$16&gt;=('Model_Assumptions'!$C$8 + 1), BQ$17*$D$11, ""))))</f>
        <v/>
      </c>
      <c r="BR20" s="21">
        <f>IF(BR$16="","",IF(BR$16=('Model_Assumptions'!$B$8+1), BR$17*$E$11,IF(BR$16&lt;='Model_Assumptions'!$C$8,BR$17*$C$11,IF(BR$16&gt;=('Model_Assumptions'!$C$8 + 1), BR$17*$D$11, ""))))</f>
        <v/>
      </c>
      <c r="BS20" s="21">
        <f>IF(BS$16="","",IF(BS$16=('Model_Assumptions'!$B$8+1), BS$17*$E$11,IF(BS$16&lt;='Model_Assumptions'!$C$8,BS$17*$C$11,IF(BS$16&gt;=('Model_Assumptions'!$C$8 + 1), BS$17*$D$11, ""))))</f>
        <v/>
      </c>
      <c r="BT20" s="21">
        <f>IF(BT$16="","",IF(BT$16=('Model_Assumptions'!$B$8+1), BT$17*$E$11,IF(BT$16&lt;='Model_Assumptions'!$C$8,BT$17*$C$11,IF(BT$16&gt;=('Model_Assumptions'!$C$8 + 1), BT$17*$D$11, ""))))</f>
        <v/>
      </c>
      <c r="BU20" s="21">
        <f>IF(BU$16="","",IF(BU$16=('Model_Assumptions'!$B$8+1), BU$17*$E$11,IF(BU$16&lt;='Model_Assumptions'!$C$8,BU$17*$C$11,IF(BU$16&gt;=('Model_Assumptions'!$C$8 + 1), BU$17*$D$11, ""))))</f>
        <v/>
      </c>
      <c r="BV20" s="21">
        <f>IF(BV$16="","",IF(BV$16=('Model_Assumptions'!$B$8+1), BV$17*$E$11,IF(BV$16&lt;='Model_Assumptions'!$C$8,BV$17*$C$11,IF(BV$16&gt;=('Model_Assumptions'!$C$8 + 1), BV$17*$D$11, ""))))</f>
        <v/>
      </c>
      <c r="BW20" s="21">
        <f>IF(BW$16="","",IF(BW$16=('Model_Assumptions'!$B$8+1), BW$17*$E$11,IF(BW$16&lt;='Model_Assumptions'!$C$8,BW$17*$C$11,IF(BW$16&gt;=('Model_Assumptions'!$C$8 + 1), BW$17*$D$11, ""))))</f>
        <v/>
      </c>
      <c r="BX20" s="21">
        <f>IF(BX$16="","",IF(BX$16=('Model_Assumptions'!$B$8+1), BX$17*$E$11,IF(BX$16&lt;='Model_Assumptions'!$C$8,BX$17*$C$11,IF(BX$16&gt;=('Model_Assumptions'!$C$8 + 1), BX$17*$D$11, ""))))</f>
        <v/>
      </c>
      <c r="BY20" s="21">
        <f>IF(BY$16="","",IF(BY$16=('Model_Assumptions'!$B$8+1), BY$17*$E$11,IF(BY$16&lt;='Model_Assumptions'!$C$8,BY$17*$C$11,IF(BY$16&gt;=('Model_Assumptions'!$C$8 + 1), BY$17*$D$11, ""))))</f>
        <v/>
      </c>
      <c r="BZ20" s="21">
        <f>IF(BZ$16="","",IF(BZ$16=('Model_Assumptions'!$B$8+1), BZ$17*$E$11,IF(BZ$16&lt;='Model_Assumptions'!$C$8,BZ$17*$C$11,IF(BZ$16&gt;=('Model_Assumptions'!$C$8 + 1), BZ$17*$D$11, ""))))</f>
        <v/>
      </c>
      <c r="CA20" s="21">
        <f>IF(CA$16="","",IF(CA$16=('Model_Assumptions'!$B$8+1), CA$17*$E$11,IF(CA$16&lt;='Model_Assumptions'!$C$8,CA$17*$C$11,IF(CA$16&gt;=('Model_Assumptions'!$C$8 + 1), CA$17*$D$11, ""))))</f>
        <v/>
      </c>
      <c r="CB20" s="21">
        <f>IF(CB$16="","",IF(CB$16=('Model_Assumptions'!$B$8+1), CB$17*$E$11,IF(CB$16&lt;='Model_Assumptions'!$C$8,CB$17*$C$11,IF(CB$16&gt;=('Model_Assumptions'!$C$8 + 1), CB$17*$D$11, ""))))</f>
        <v/>
      </c>
      <c r="CC20" s="21">
        <f>IF(CC$16="","",IF(CC$16=('Model_Assumptions'!$B$8+1), CC$17*$E$11,IF(CC$16&lt;='Model_Assumptions'!$C$8,CC$17*$C$11,IF(CC$16&gt;=('Model_Assumptions'!$C$8 + 1), CC$17*$D$11, ""))))</f>
        <v/>
      </c>
      <c r="CD20" s="21">
        <f>IF(CD$16="","",IF(CD$16=('Model_Assumptions'!$B$8+1), CD$17*$E$11,IF(CD$16&lt;='Model_Assumptions'!$C$8,CD$17*$C$11,IF(CD$16&gt;=('Model_Assumptions'!$C$8 + 1), CD$17*$D$11, ""))))</f>
        <v/>
      </c>
      <c r="CE20" s="21">
        <f>IF(CE$16="","",IF(CE$16=('Model_Assumptions'!$B$8+1), CE$17*$E$11,IF(CE$16&lt;='Model_Assumptions'!$C$8,CE$17*$C$11,IF(CE$16&gt;=('Model_Assumptions'!$C$8 + 1), CE$17*$D$11, ""))))</f>
        <v/>
      </c>
      <c r="CF20" s="21">
        <f>IF(CF$16="","",IF(CF$16=('Model_Assumptions'!$B$8+1), CF$17*$E$11,IF(CF$16&lt;='Model_Assumptions'!$C$8,CF$17*$C$11,IF(CF$16&gt;=('Model_Assumptions'!$C$8 + 1), CF$17*$D$11, ""))))</f>
        <v/>
      </c>
      <c r="CG20" s="21">
        <f>IF(CG$16="","",IF(CG$16=('Model_Assumptions'!$B$8+1), CG$17*$E$11,IF(CG$16&lt;='Model_Assumptions'!$C$8,CG$17*$C$11,IF(CG$16&gt;=('Model_Assumptions'!$C$8 + 1), CG$17*$D$11, ""))))</f>
        <v/>
      </c>
      <c r="CH20" s="21">
        <f>IF(CH$16="","",IF(CH$16=('Model_Assumptions'!$B$8+1), CH$17*$E$11,IF(CH$16&lt;='Model_Assumptions'!$C$8,CH$17*$C$11,IF(CH$16&gt;=('Model_Assumptions'!$C$8 + 1), CH$17*$D$11, ""))))</f>
        <v/>
      </c>
      <c r="CI20" s="21">
        <f>IF(CI$16="","",IF(CI$16=('Model_Assumptions'!$B$8+1), CI$17*$E$11,IF(CI$16&lt;='Model_Assumptions'!$C$8,CI$17*$C$11,IF(CI$16&gt;=('Model_Assumptions'!$C$8 + 1), CI$17*$D$11, ""))))</f>
        <v/>
      </c>
      <c r="CJ20" s="21">
        <f>IF(CJ$16="","",IF(CJ$16=('Model_Assumptions'!$B$8+1), CJ$17*$E$11,IF(CJ$16&lt;='Model_Assumptions'!$C$8,CJ$17*$C$11,IF(CJ$16&gt;=('Model_Assumptions'!$C$8 + 1), CJ$17*$D$11, ""))))</f>
        <v/>
      </c>
      <c r="CK20" s="21">
        <f>IF(CK$16="","",IF(CK$16=('Model_Assumptions'!$B$8+1), CK$17*$E$11,IF(CK$16&lt;='Model_Assumptions'!$C$8,CK$17*$C$11,IF(CK$16&gt;=('Model_Assumptions'!$C$8 + 1), CK$17*$D$11, ""))))</f>
        <v/>
      </c>
      <c r="CL20" s="21">
        <f>IF(CL$16="","",IF(CL$16=('Model_Assumptions'!$B$8+1), CL$17*$E$11,IF(CL$16&lt;='Model_Assumptions'!$C$8,CL$17*$C$11,IF(CL$16&gt;=('Model_Assumptions'!$C$8 + 1), CL$17*$D$11, ""))))</f>
        <v/>
      </c>
      <c r="CM20" s="22">
        <f>IF(CM$16="","",IF(CM$16=('Model_Assumptions'!$B$8+1), CM$17*$E$11,IF(CM$16&lt;='Model_Assumptions'!$C$8,CM$17*$C$11,IF(CM$16&gt;=('Model_Assumptions'!$C$8 + 1), CM$17*$D$11, ""))))</f>
        <v/>
      </c>
    </row>
    <row r="21">
      <c r="B21" s="19" t="inlineStr">
        <is>
          <t>Depreciation Tax Shield</t>
        </is>
      </c>
      <c r="C21" s="20" t="inlineStr"/>
      <c r="D21" s="21">
        <f>IF(D$16 = "","", IF(D$16 =( 'Model_Assumptions'!$B$8 +1), D$20 * $E$9, IF(D$16 &lt;= 'Model_Assumptions'!$C$8, D$20 * $C$9, IF(D$16 &gt;= ('Model_Assumptions'!$C$8 + 1), D$20 * $D$9))))</f>
        <v/>
      </c>
      <c r="E21" s="21">
        <f>IF(E$16 = "","", IF(E$16 =( 'Model_Assumptions'!$B$8 +1), E$20 * $E$9, IF(E$16 &lt;= 'Model_Assumptions'!$C$8, E$20 * $C$9, IF(E$16 &gt;= ('Model_Assumptions'!$C$8 + 1), E$20 * $D$9))))</f>
        <v/>
      </c>
      <c r="F21" s="21">
        <f>IF(F$16 = "","", IF(F$16 =( 'Model_Assumptions'!$B$8 +1), F$20 * $E$9, IF(F$16 &lt;= 'Model_Assumptions'!$C$8, F$20 * $C$9, IF(F$16 &gt;= ('Model_Assumptions'!$C$8 + 1), F$20 * $D$9))))</f>
        <v/>
      </c>
      <c r="G21" s="21">
        <f>IF(G$16 = "","", IF(G$16 =( 'Model_Assumptions'!$B$8 +1), G$20 * $E$9, IF(G$16 &lt;= 'Model_Assumptions'!$C$8, G$20 * $C$9, IF(G$16 &gt;= ('Model_Assumptions'!$C$8 + 1), G$20 * $D$9))))</f>
        <v/>
      </c>
      <c r="H21" s="21">
        <f>IF(H$16 = "","", IF(H$16 =( 'Model_Assumptions'!$B$8 +1), H$20 * $E$9, IF(H$16 &lt;= 'Model_Assumptions'!$C$8, H$20 * $C$9, IF(H$16 &gt;= ('Model_Assumptions'!$C$8 + 1), H$20 * $D$9))))</f>
        <v/>
      </c>
      <c r="I21" s="21">
        <f>IF(I$16 = "","", IF(I$16 =( 'Model_Assumptions'!$B$8 +1), I$20 * $E$9, IF(I$16 &lt;= 'Model_Assumptions'!$C$8, I$20 * $C$9, IF(I$16 &gt;= ('Model_Assumptions'!$C$8 + 1), I$20 * $D$9))))</f>
        <v/>
      </c>
      <c r="J21" s="21">
        <f>IF(J$16 = "","", IF(J$16 =( 'Model_Assumptions'!$B$8 +1), J$20 * $E$9, IF(J$16 &lt;= 'Model_Assumptions'!$C$8, J$20 * $C$9, IF(J$16 &gt;= ('Model_Assumptions'!$C$8 + 1), J$20 * $D$9))))</f>
        <v/>
      </c>
      <c r="K21" s="21">
        <f>IF(K$16 = "","", IF(K$16 =( 'Model_Assumptions'!$B$8 +1), K$20 * $E$9, IF(K$16 &lt;= 'Model_Assumptions'!$C$8, K$20 * $C$9, IF(K$16 &gt;= ('Model_Assumptions'!$C$8 + 1), K$20 * $D$9))))</f>
        <v/>
      </c>
      <c r="L21" s="21">
        <f>IF(L$16 = "","", IF(L$16 =( 'Model_Assumptions'!$B$8 +1), L$20 * $E$9, IF(L$16 &lt;= 'Model_Assumptions'!$C$8, L$20 * $C$9, IF(L$16 &gt;= ('Model_Assumptions'!$C$8 + 1), L$20 * $D$9))))</f>
        <v/>
      </c>
      <c r="M21" s="21">
        <f>IF(M$16 = "","", IF(M$16 =( 'Model_Assumptions'!$B$8 +1), M$20 * $E$9, IF(M$16 &lt;= 'Model_Assumptions'!$C$8, M$20 * $C$9, IF(M$16 &gt;= ('Model_Assumptions'!$C$8 + 1), M$20 * $D$9))))</f>
        <v/>
      </c>
      <c r="N21" s="21">
        <f>IF(N$16 = "","", IF(N$16 =( 'Model_Assumptions'!$B$8 +1), N$20 * $E$9, IF(N$16 &lt;= 'Model_Assumptions'!$C$8, N$20 * $C$9, IF(N$16 &gt;= ('Model_Assumptions'!$C$8 + 1), N$20 * $D$9))))</f>
        <v/>
      </c>
      <c r="O21" s="21">
        <f>IF(O$16 = "","", IF(O$16 =( 'Model_Assumptions'!$B$8 +1), O$20 * $E$9, IF(O$16 &lt;= 'Model_Assumptions'!$C$8, O$20 * $C$9, IF(O$16 &gt;= ('Model_Assumptions'!$C$8 + 1), O$20 * $D$9))))</f>
        <v/>
      </c>
      <c r="P21" s="21">
        <f>IF(P$16 = "","", IF(P$16 =( 'Model_Assumptions'!$B$8 +1), P$20 * $E$9, IF(P$16 &lt;= 'Model_Assumptions'!$C$8, P$20 * $C$9, IF(P$16 &gt;= ('Model_Assumptions'!$C$8 + 1), P$20 * $D$9))))</f>
        <v/>
      </c>
      <c r="Q21" s="21">
        <f>IF(Q$16 = "","", IF(Q$16 =( 'Model_Assumptions'!$B$8 +1), Q$20 * $E$9, IF(Q$16 &lt;= 'Model_Assumptions'!$C$8, Q$20 * $C$9, IF(Q$16 &gt;= ('Model_Assumptions'!$C$8 + 1), Q$20 * $D$9))))</f>
        <v/>
      </c>
      <c r="R21" s="21">
        <f>IF(R$16 = "","", IF(R$16 =( 'Model_Assumptions'!$B$8 +1), R$20 * $E$9, IF(R$16 &lt;= 'Model_Assumptions'!$C$8, R$20 * $C$9, IF(R$16 &gt;= ('Model_Assumptions'!$C$8 + 1), R$20 * $D$9))))</f>
        <v/>
      </c>
      <c r="S21" s="21">
        <f>IF(S$16 = "","", IF(S$16 =( 'Model_Assumptions'!$B$8 +1), S$20 * $E$9, IF(S$16 &lt;= 'Model_Assumptions'!$C$8, S$20 * $C$9, IF(S$16 &gt;= ('Model_Assumptions'!$C$8 + 1), S$20 * $D$9))))</f>
        <v/>
      </c>
      <c r="T21" s="21">
        <f>IF(T$16 = "","", IF(T$16 =( 'Model_Assumptions'!$B$8 +1), T$20 * $E$9, IF(T$16 &lt;= 'Model_Assumptions'!$C$8, T$20 * $C$9, IF(T$16 &gt;= ('Model_Assumptions'!$C$8 + 1), T$20 * $D$9))))</f>
        <v/>
      </c>
      <c r="U21" s="21">
        <f>IF(U$16 = "","", IF(U$16 =( 'Model_Assumptions'!$B$8 +1), U$20 * $E$9, IF(U$16 &lt;= 'Model_Assumptions'!$C$8, U$20 * $C$9, IF(U$16 &gt;= ('Model_Assumptions'!$C$8 + 1), U$20 * $D$9))))</f>
        <v/>
      </c>
      <c r="V21" s="21">
        <f>IF(V$16 = "","", IF(V$16 =( 'Model_Assumptions'!$B$8 +1), V$20 * $E$9, IF(V$16 &lt;= 'Model_Assumptions'!$C$8, V$20 * $C$9, IF(V$16 &gt;= ('Model_Assumptions'!$C$8 + 1), V$20 * $D$9))))</f>
        <v/>
      </c>
      <c r="W21" s="21">
        <f>IF(W$16 = "","", IF(W$16 =( 'Model_Assumptions'!$B$8 +1), W$20 * $E$9, IF(W$16 &lt;= 'Model_Assumptions'!$C$8, W$20 * $C$9, IF(W$16 &gt;= ('Model_Assumptions'!$C$8 + 1), W$20 * $D$9))))</f>
        <v/>
      </c>
      <c r="X21" s="21">
        <f>IF(X$16 = "","", IF(X$16 =( 'Model_Assumptions'!$B$8 +1), X$20 * $E$9, IF(X$16 &lt;= 'Model_Assumptions'!$C$8, X$20 * $C$9, IF(X$16 &gt;= ('Model_Assumptions'!$C$8 + 1), X$20 * $D$9))))</f>
        <v/>
      </c>
      <c r="Y21" s="21">
        <f>IF(Y$16 = "","", IF(Y$16 =( 'Model_Assumptions'!$B$8 +1), Y$20 * $E$9, IF(Y$16 &lt;= 'Model_Assumptions'!$C$8, Y$20 * $C$9, IF(Y$16 &gt;= ('Model_Assumptions'!$C$8 + 1), Y$20 * $D$9))))</f>
        <v/>
      </c>
      <c r="Z21" s="21">
        <f>IF(Z$16 = "","", IF(Z$16 =( 'Model_Assumptions'!$B$8 +1), Z$20 * $E$9, IF(Z$16 &lt;= 'Model_Assumptions'!$C$8, Z$20 * $C$9, IF(Z$16 &gt;= ('Model_Assumptions'!$C$8 + 1), Z$20 * $D$9))))</f>
        <v/>
      </c>
      <c r="AA21" s="21">
        <f>IF(AA$16 = "","", IF(AA$16 =( 'Model_Assumptions'!$B$8 +1), AA$20 * $E$9, IF(AA$16 &lt;= 'Model_Assumptions'!$C$8, AA$20 * $C$9, IF(AA$16 &gt;= ('Model_Assumptions'!$C$8 + 1), AA$20 * $D$9))))</f>
        <v/>
      </c>
      <c r="AB21" s="21">
        <f>IF(AB$16 = "","", IF(AB$16 =( 'Model_Assumptions'!$B$8 +1), AB$20 * $E$9, IF(AB$16 &lt;= 'Model_Assumptions'!$C$8, AB$20 * $C$9, IF(AB$16 &gt;= ('Model_Assumptions'!$C$8 + 1), AB$20 * $D$9))))</f>
        <v/>
      </c>
      <c r="AC21" s="21">
        <f>IF(AC$16 = "","", IF(AC$16 =( 'Model_Assumptions'!$B$8 +1), AC$20 * $E$9, IF(AC$16 &lt;= 'Model_Assumptions'!$C$8, AC$20 * $C$9, IF(AC$16 &gt;= ('Model_Assumptions'!$C$8 + 1), AC$20 * $D$9))))</f>
        <v/>
      </c>
      <c r="AD21" s="21">
        <f>IF(AD$16 = "","", IF(AD$16 =( 'Model_Assumptions'!$B$8 +1), AD$20 * $E$9, IF(AD$16 &lt;= 'Model_Assumptions'!$C$8, AD$20 * $C$9, IF(AD$16 &gt;= ('Model_Assumptions'!$C$8 + 1), AD$20 * $D$9))))</f>
        <v/>
      </c>
      <c r="AE21" s="21">
        <f>IF(AE$16 = "","", IF(AE$16 =( 'Model_Assumptions'!$B$8 +1), AE$20 * $E$9, IF(AE$16 &lt;= 'Model_Assumptions'!$C$8, AE$20 * $C$9, IF(AE$16 &gt;= ('Model_Assumptions'!$C$8 + 1), AE$20 * $D$9))))</f>
        <v/>
      </c>
      <c r="AF21" s="21">
        <f>IF(AF$16 = "","", IF(AF$16 =( 'Model_Assumptions'!$B$8 +1), AF$20 * $E$9, IF(AF$16 &lt;= 'Model_Assumptions'!$C$8, AF$20 * $C$9, IF(AF$16 &gt;= ('Model_Assumptions'!$C$8 + 1), AF$20 * $D$9))))</f>
        <v/>
      </c>
      <c r="AG21" s="21">
        <f>IF(AG$16 = "","", IF(AG$16 =( 'Model_Assumptions'!$B$8 +1), AG$20 * $E$9, IF(AG$16 &lt;= 'Model_Assumptions'!$C$8, AG$20 * $C$9, IF(AG$16 &gt;= ('Model_Assumptions'!$C$8 + 1), AG$20 * $D$9))))</f>
        <v/>
      </c>
      <c r="AH21" s="21">
        <f>IF(AH$16 = "","", IF(AH$16 =( 'Model_Assumptions'!$B$8 +1), AH$20 * $E$9, IF(AH$16 &lt;= 'Model_Assumptions'!$C$8, AH$20 * $C$9, IF(AH$16 &gt;= ('Model_Assumptions'!$C$8 + 1), AH$20 * $D$9))))</f>
        <v/>
      </c>
      <c r="AI21" s="21">
        <f>IF(AI$16 = "","", IF(AI$16 =( 'Model_Assumptions'!$B$8 +1), AI$20 * $E$9, IF(AI$16 &lt;= 'Model_Assumptions'!$C$8, AI$20 * $C$9, IF(AI$16 &gt;= ('Model_Assumptions'!$C$8 + 1), AI$20 * $D$9))))</f>
        <v/>
      </c>
      <c r="AJ21" s="21">
        <f>IF(AJ$16 = "","", IF(AJ$16 =( 'Model_Assumptions'!$B$8 +1), AJ$20 * $E$9, IF(AJ$16 &lt;= 'Model_Assumptions'!$C$8, AJ$20 * $C$9, IF(AJ$16 &gt;= ('Model_Assumptions'!$C$8 + 1), AJ$20 * $D$9))))</f>
        <v/>
      </c>
      <c r="AK21" s="21">
        <f>IF(AK$16 = "","", IF(AK$16 =( 'Model_Assumptions'!$B$8 +1), AK$20 * $E$9, IF(AK$16 &lt;= 'Model_Assumptions'!$C$8, AK$20 * $C$9, IF(AK$16 &gt;= ('Model_Assumptions'!$C$8 + 1), AK$20 * $D$9))))</f>
        <v/>
      </c>
      <c r="AL21" s="21">
        <f>IF(AL$16 = "","", IF(AL$16 =( 'Model_Assumptions'!$B$8 +1), AL$20 * $E$9, IF(AL$16 &lt;= 'Model_Assumptions'!$C$8, AL$20 * $C$9, IF(AL$16 &gt;= ('Model_Assumptions'!$C$8 + 1), AL$20 * $D$9))))</f>
        <v/>
      </c>
      <c r="AM21" s="21">
        <f>IF(AM$16 = "","", IF(AM$16 =( 'Model_Assumptions'!$B$8 +1), AM$20 * $E$9, IF(AM$16 &lt;= 'Model_Assumptions'!$C$8, AM$20 * $C$9, IF(AM$16 &gt;= ('Model_Assumptions'!$C$8 + 1), AM$20 * $D$9))))</f>
        <v/>
      </c>
      <c r="AN21" s="21">
        <f>IF(AN$16 = "","", IF(AN$16 =( 'Model_Assumptions'!$B$8 +1), AN$20 * $E$9, IF(AN$16 &lt;= 'Model_Assumptions'!$C$8, AN$20 * $C$9, IF(AN$16 &gt;= ('Model_Assumptions'!$C$8 + 1), AN$20 * $D$9))))</f>
        <v/>
      </c>
      <c r="AO21" s="21">
        <f>IF(AO$16 = "","", IF(AO$16 =( 'Model_Assumptions'!$B$8 +1), AO$20 * $E$9, IF(AO$16 &lt;= 'Model_Assumptions'!$C$8, AO$20 * $C$9, IF(AO$16 &gt;= ('Model_Assumptions'!$C$8 + 1), AO$20 * $D$9))))</f>
        <v/>
      </c>
      <c r="AP21" s="21">
        <f>IF(AP$16 = "","", IF(AP$16 =( 'Model_Assumptions'!$B$8 +1), AP$20 * $E$9, IF(AP$16 &lt;= 'Model_Assumptions'!$C$8, AP$20 * $C$9, IF(AP$16 &gt;= ('Model_Assumptions'!$C$8 + 1), AP$20 * $D$9))))</f>
        <v/>
      </c>
      <c r="AQ21" s="21">
        <f>IF(AQ$16 = "","", IF(AQ$16 =( 'Model_Assumptions'!$B$8 +1), AQ$20 * $E$9, IF(AQ$16 &lt;= 'Model_Assumptions'!$C$8, AQ$20 * $C$9, IF(AQ$16 &gt;= ('Model_Assumptions'!$C$8 + 1), AQ$20 * $D$9))))</f>
        <v/>
      </c>
      <c r="AR21" s="21">
        <f>IF(AR$16 = "","", IF(AR$16 =( 'Model_Assumptions'!$B$8 +1), AR$20 * $E$9, IF(AR$16 &lt;= 'Model_Assumptions'!$C$8, AR$20 * $C$9, IF(AR$16 &gt;= ('Model_Assumptions'!$C$8 + 1), AR$20 * $D$9))))</f>
        <v/>
      </c>
      <c r="AS21" s="21">
        <f>IF(AS$16 = "","", IF(AS$16 =( 'Model_Assumptions'!$B$8 +1), AS$20 * $E$9, IF(AS$16 &lt;= 'Model_Assumptions'!$C$8, AS$20 * $C$9, IF(AS$16 &gt;= ('Model_Assumptions'!$C$8 + 1), AS$20 * $D$9))))</f>
        <v/>
      </c>
      <c r="AT21" s="21">
        <f>IF(AT$16 = "","", IF(AT$16 =( 'Model_Assumptions'!$B$8 +1), AT$20 * $E$9, IF(AT$16 &lt;= 'Model_Assumptions'!$C$8, AT$20 * $C$9, IF(AT$16 &gt;= ('Model_Assumptions'!$C$8 + 1), AT$20 * $D$9))))</f>
        <v/>
      </c>
      <c r="AU21" s="21">
        <f>IF(AU$16 = "","", IF(AU$16 =( 'Model_Assumptions'!$B$8 +1), AU$20 * $E$9, IF(AU$16 &lt;= 'Model_Assumptions'!$C$8, AU$20 * $C$9, IF(AU$16 &gt;= ('Model_Assumptions'!$C$8 + 1), AU$20 * $D$9))))</f>
        <v/>
      </c>
      <c r="AV21" s="21">
        <f>IF(AV$16 = "","", IF(AV$16 =( 'Model_Assumptions'!$B$8 +1), AV$20 * $E$9, IF(AV$16 &lt;= 'Model_Assumptions'!$C$8, AV$20 * $C$9, IF(AV$16 &gt;= ('Model_Assumptions'!$C$8 + 1), AV$20 * $D$9))))</f>
        <v/>
      </c>
      <c r="AW21" s="21">
        <f>IF(AW$16 = "","", IF(AW$16 =( 'Model_Assumptions'!$B$8 +1), AW$20 * $E$9, IF(AW$16 &lt;= 'Model_Assumptions'!$C$8, AW$20 * $C$9, IF(AW$16 &gt;= ('Model_Assumptions'!$C$8 + 1), AW$20 * $D$9))))</f>
        <v/>
      </c>
      <c r="AX21" s="21">
        <f>IF(AX$16 = "","", IF(AX$16 =( 'Model_Assumptions'!$B$8 +1), AX$20 * $E$9, IF(AX$16 &lt;= 'Model_Assumptions'!$C$8, AX$20 * $C$9, IF(AX$16 &gt;= ('Model_Assumptions'!$C$8 + 1), AX$20 * $D$9))))</f>
        <v/>
      </c>
      <c r="AY21" s="21">
        <f>IF(AY$16 = "","", IF(AY$16 =( 'Model_Assumptions'!$B$8 +1), AY$20 * $E$9, IF(AY$16 &lt;= 'Model_Assumptions'!$C$8, AY$20 * $C$9, IF(AY$16 &gt;= ('Model_Assumptions'!$C$8 + 1), AY$20 * $D$9))))</f>
        <v/>
      </c>
      <c r="AZ21" s="21">
        <f>IF(AZ$16 = "","", IF(AZ$16 =( 'Model_Assumptions'!$B$8 +1), AZ$20 * $E$9, IF(AZ$16 &lt;= 'Model_Assumptions'!$C$8, AZ$20 * $C$9, IF(AZ$16 &gt;= ('Model_Assumptions'!$C$8 + 1), AZ$20 * $D$9))))</f>
        <v/>
      </c>
      <c r="BA21" s="21">
        <f>IF(BA$16 = "","", IF(BA$16 =( 'Model_Assumptions'!$B$8 +1), BA$20 * $E$9, IF(BA$16 &lt;= 'Model_Assumptions'!$C$8, BA$20 * $C$9, IF(BA$16 &gt;= ('Model_Assumptions'!$C$8 + 1), BA$20 * $D$9))))</f>
        <v/>
      </c>
      <c r="BB21" s="21">
        <f>IF(BB$16 = "","", IF(BB$16 =( 'Model_Assumptions'!$B$8 +1), BB$20 * $E$9, IF(BB$16 &lt;= 'Model_Assumptions'!$C$8, BB$20 * $C$9, IF(BB$16 &gt;= ('Model_Assumptions'!$C$8 + 1), BB$20 * $D$9))))</f>
        <v/>
      </c>
      <c r="BC21" s="21">
        <f>IF(BC$16 = "","", IF(BC$16 =( 'Model_Assumptions'!$B$8 +1), BC$20 * $E$9, IF(BC$16 &lt;= 'Model_Assumptions'!$C$8, BC$20 * $C$9, IF(BC$16 &gt;= ('Model_Assumptions'!$C$8 + 1), BC$20 * $D$9))))</f>
        <v/>
      </c>
      <c r="BD21" s="21">
        <f>IF(BD$16 = "","", IF(BD$16 =( 'Model_Assumptions'!$B$8 +1), BD$20 * $E$9, IF(BD$16 &lt;= 'Model_Assumptions'!$C$8, BD$20 * $C$9, IF(BD$16 &gt;= ('Model_Assumptions'!$C$8 + 1), BD$20 * $D$9))))</f>
        <v/>
      </c>
      <c r="BE21" s="21">
        <f>IF(BE$16 = "","", IF(BE$16 =( 'Model_Assumptions'!$B$8 +1), BE$20 * $E$9, IF(BE$16 &lt;= 'Model_Assumptions'!$C$8, BE$20 * $C$9, IF(BE$16 &gt;= ('Model_Assumptions'!$C$8 + 1), BE$20 * $D$9))))</f>
        <v/>
      </c>
      <c r="BF21" s="21">
        <f>IF(BF$16 = "","", IF(BF$16 =( 'Model_Assumptions'!$B$8 +1), BF$20 * $E$9, IF(BF$16 &lt;= 'Model_Assumptions'!$C$8, BF$20 * $C$9, IF(BF$16 &gt;= ('Model_Assumptions'!$C$8 + 1), BF$20 * $D$9))))</f>
        <v/>
      </c>
      <c r="BG21" s="21">
        <f>IF(BG$16 = "","", IF(BG$16 =( 'Model_Assumptions'!$B$8 +1), BG$20 * $E$9, IF(BG$16 &lt;= 'Model_Assumptions'!$C$8, BG$20 * $C$9, IF(BG$16 &gt;= ('Model_Assumptions'!$C$8 + 1), BG$20 * $D$9))))</f>
        <v/>
      </c>
      <c r="BH21" s="21">
        <f>IF(BH$16 = "","", IF(BH$16 =( 'Model_Assumptions'!$B$8 +1), BH$20 * $E$9, IF(BH$16 &lt;= 'Model_Assumptions'!$C$8, BH$20 * $C$9, IF(BH$16 &gt;= ('Model_Assumptions'!$C$8 + 1), BH$20 * $D$9))))</f>
        <v/>
      </c>
      <c r="BI21" s="21">
        <f>IF(BI$16 = "","", IF(BI$16 =( 'Model_Assumptions'!$B$8 +1), BI$20 * $E$9, IF(BI$16 &lt;= 'Model_Assumptions'!$C$8, BI$20 * $C$9, IF(BI$16 &gt;= ('Model_Assumptions'!$C$8 + 1), BI$20 * $D$9))))</f>
        <v/>
      </c>
      <c r="BJ21" s="21">
        <f>IF(BJ$16 = "","", IF(BJ$16 =( 'Model_Assumptions'!$B$8 +1), BJ$20 * $E$9, IF(BJ$16 &lt;= 'Model_Assumptions'!$C$8, BJ$20 * $C$9, IF(BJ$16 &gt;= ('Model_Assumptions'!$C$8 + 1), BJ$20 * $D$9))))</f>
        <v/>
      </c>
      <c r="BK21" s="21">
        <f>IF(BK$16 = "","", IF(BK$16 =( 'Model_Assumptions'!$B$8 +1), BK$20 * $E$9, IF(BK$16 &lt;= 'Model_Assumptions'!$C$8, BK$20 * $C$9, IF(BK$16 &gt;= ('Model_Assumptions'!$C$8 + 1), BK$20 * $D$9))))</f>
        <v/>
      </c>
      <c r="BL21" s="21">
        <f>IF(BL$16 = "","", IF(BL$16 =( 'Model_Assumptions'!$B$8 +1), BL$20 * $E$9, IF(BL$16 &lt;= 'Model_Assumptions'!$C$8, BL$20 * $C$9, IF(BL$16 &gt;= ('Model_Assumptions'!$C$8 + 1), BL$20 * $D$9))))</f>
        <v/>
      </c>
      <c r="BM21" s="21">
        <f>IF(BM$16 = "","", IF(BM$16 =( 'Model_Assumptions'!$B$8 +1), BM$20 * $E$9, IF(BM$16 &lt;= 'Model_Assumptions'!$C$8, BM$20 * $C$9, IF(BM$16 &gt;= ('Model_Assumptions'!$C$8 + 1), BM$20 * $D$9))))</f>
        <v/>
      </c>
      <c r="BN21" s="21">
        <f>IF(BN$16 = "","", IF(BN$16 =( 'Model_Assumptions'!$B$8 +1), BN$20 * $E$9, IF(BN$16 &lt;= 'Model_Assumptions'!$C$8, BN$20 * $C$9, IF(BN$16 &gt;= ('Model_Assumptions'!$C$8 + 1), BN$20 * $D$9))))</f>
        <v/>
      </c>
      <c r="BO21" s="21">
        <f>IF(BO$16 = "","", IF(BO$16 =( 'Model_Assumptions'!$B$8 +1), BO$20 * $E$9, IF(BO$16 &lt;= 'Model_Assumptions'!$C$8, BO$20 * $C$9, IF(BO$16 &gt;= ('Model_Assumptions'!$C$8 + 1), BO$20 * $D$9))))</f>
        <v/>
      </c>
      <c r="BP21" s="21">
        <f>IF(BP$16 = "","", IF(BP$16 =( 'Model_Assumptions'!$B$8 +1), BP$20 * $E$9, IF(BP$16 &lt;= 'Model_Assumptions'!$C$8, BP$20 * $C$9, IF(BP$16 &gt;= ('Model_Assumptions'!$C$8 + 1), BP$20 * $D$9))))</f>
        <v/>
      </c>
      <c r="BQ21" s="21">
        <f>IF(BQ$16 = "","", IF(BQ$16 =( 'Model_Assumptions'!$B$8 +1), BQ$20 * $E$9, IF(BQ$16 &lt;= 'Model_Assumptions'!$C$8, BQ$20 * $C$9, IF(BQ$16 &gt;= ('Model_Assumptions'!$C$8 + 1), BQ$20 * $D$9))))</f>
        <v/>
      </c>
      <c r="BR21" s="21">
        <f>IF(BR$16 = "","", IF(BR$16 =( 'Model_Assumptions'!$B$8 +1), BR$20 * $E$9, IF(BR$16 &lt;= 'Model_Assumptions'!$C$8, BR$20 * $C$9, IF(BR$16 &gt;= ('Model_Assumptions'!$C$8 + 1), BR$20 * $D$9))))</f>
        <v/>
      </c>
      <c r="BS21" s="21">
        <f>IF(BS$16 = "","", IF(BS$16 =( 'Model_Assumptions'!$B$8 +1), BS$20 * $E$9, IF(BS$16 &lt;= 'Model_Assumptions'!$C$8, BS$20 * $C$9, IF(BS$16 &gt;= ('Model_Assumptions'!$C$8 + 1), BS$20 * $D$9))))</f>
        <v/>
      </c>
      <c r="BT21" s="21">
        <f>IF(BT$16 = "","", IF(BT$16 =( 'Model_Assumptions'!$B$8 +1), BT$20 * $E$9, IF(BT$16 &lt;= 'Model_Assumptions'!$C$8, BT$20 * $C$9, IF(BT$16 &gt;= ('Model_Assumptions'!$C$8 + 1), BT$20 * $D$9))))</f>
        <v/>
      </c>
      <c r="BU21" s="21">
        <f>IF(BU$16 = "","", IF(BU$16 =( 'Model_Assumptions'!$B$8 +1), BU$20 * $E$9, IF(BU$16 &lt;= 'Model_Assumptions'!$C$8, BU$20 * $C$9, IF(BU$16 &gt;= ('Model_Assumptions'!$C$8 + 1), BU$20 * $D$9))))</f>
        <v/>
      </c>
      <c r="BV21" s="21">
        <f>IF(BV$16 = "","", IF(BV$16 =( 'Model_Assumptions'!$B$8 +1), BV$20 * $E$9, IF(BV$16 &lt;= 'Model_Assumptions'!$C$8, BV$20 * $C$9, IF(BV$16 &gt;= ('Model_Assumptions'!$C$8 + 1), BV$20 * $D$9))))</f>
        <v/>
      </c>
      <c r="BW21" s="21">
        <f>IF(BW$16 = "","", IF(BW$16 =( 'Model_Assumptions'!$B$8 +1), BW$20 * $E$9, IF(BW$16 &lt;= 'Model_Assumptions'!$C$8, BW$20 * $C$9, IF(BW$16 &gt;= ('Model_Assumptions'!$C$8 + 1), BW$20 * $D$9))))</f>
        <v/>
      </c>
      <c r="BX21" s="21">
        <f>IF(BX$16 = "","", IF(BX$16 =( 'Model_Assumptions'!$B$8 +1), BX$20 * $E$9, IF(BX$16 &lt;= 'Model_Assumptions'!$C$8, BX$20 * $C$9, IF(BX$16 &gt;= ('Model_Assumptions'!$C$8 + 1), BX$20 * $D$9))))</f>
        <v/>
      </c>
      <c r="BY21" s="21">
        <f>IF(BY$16 = "","", IF(BY$16 =( 'Model_Assumptions'!$B$8 +1), BY$20 * $E$9, IF(BY$16 &lt;= 'Model_Assumptions'!$C$8, BY$20 * $C$9, IF(BY$16 &gt;= ('Model_Assumptions'!$C$8 + 1), BY$20 * $D$9))))</f>
        <v/>
      </c>
      <c r="BZ21" s="21">
        <f>IF(BZ$16 = "","", IF(BZ$16 =( 'Model_Assumptions'!$B$8 +1), BZ$20 * $E$9, IF(BZ$16 &lt;= 'Model_Assumptions'!$C$8, BZ$20 * $C$9, IF(BZ$16 &gt;= ('Model_Assumptions'!$C$8 + 1), BZ$20 * $D$9))))</f>
        <v/>
      </c>
      <c r="CA21" s="21">
        <f>IF(CA$16 = "","", IF(CA$16 =( 'Model_Assumptions'!$B$8 +1), CA$20 * $E$9, IF(CA$16 &lt;= 'Model_Assumptions'!$C$8, CA$20 * $C$9, IF(CA$16 &gt;= ('Model_Assumptions'!$C$8 + 1), CA$20 * $D$9))))</f>
        <v/>
      </c>
      <c r="CB21" s="21">
        <f>IF(CB$16 = "","", IF(CB$16 =( 'Model_Assumptions'!$B$8 +1), CB$20 * $E$9, IF(CB$16 &lt;= 'Model_Assumptions'!$C$8, CB$20 * $C$9, IF(CB$16 &gt;= ('Model_Assumptions'!$C$8 + 1), CB$20 * $D$9))))</f>
        <v/>
      </c>
      <c r="CC21" s="21">
        <f>IF(CC$16 = "","", IF(CC$16 =( 'Model_Assumptions'!$B$8 +1), CC$20 * $E$9, IF(CC$16 &lt;= 'Model_Assumptions'!$C$8, CC$20 * $C$9, IF(CC$16 &gt;= ('Model_Assumptions'!$C$8 + 1), CC$20 * $D$9))))</f>
        <v/>
      </c>
      <c r="CD21" s="21">
        <f>IF(CD$16 = "","", IF(CD$16 =( 'Model_Assumptions'!$B$8 +1), CD$20 * $E$9, IF(CD$16 &lt;= 'Model_Assumptions'!$C$8, CD$20 * $C$9, IF(CD$16 &gt;= ('Model_Assumptions'!$C$8 + 1), CD$20 * $D$9))))</f>
        <v/>
      </c>
      <c r="CE21" s="21">
        <f>IF(CE$16 = "","", IF(CE$16 =( 'Model_Assumptions'!$B$8 +1), CE$20 * $E$9, IF(CE$16 &lt;= 'Model_Assumptions'!$C$8, CE$20 * $C$9, IF(CE$16 &gt;= ('Model_Assumptions'!$C$8 + 1), CE$20 * $D$9))))</f>
        <v/>
      </c>
      <c r="CF21" s="21">
        <f>IF(CF$16 = "","", IF(CF$16 =( 'Model_Assumptions'!$B$8 +1), CF$20 * $E$9, IF(CF$16 &lt;= 'Model_Assumptions'!$C$8, CF$20 * $C$9, IF(CF$16 &gt;= ('Model_Assumptions'!$C$8 + 1), CF$20 * $D$9))))</f>
        <v/>
      </c>
      <c r="CG21" s="21">
        <f>IF(CG$16 = "","", IF(CG$16 =( 'Model_Assumptions'!$B$8 +1), CG$20 * $E$9, IF(CG$16 &lt;= 'Model_Assumptions'!$C$8, CG$20 * $C$9, IF(CG$16 &gt;= ('Model_Assumptions'!$C$8 + 1), CG$20 * $D$9))))</f>
        <v/>
      </c>
      <c r="CH21" s="21">
        <f>IF(CH$16 = "","", IF(CH$16 =( 'Model_Assumptions'!$B$8 +1), CH$20 * $E$9, IF(CH$16 &lt;= 'Model_Assumptions'!$C$8, CH$20 * $C$9, IF(CH$16 &gt;= ('Model_Assumptions'!$C$8 + 1), CH$20 * $D$9))))</f>
        <v/>
      </c>
      <c r="CI21" s="21">
        <f>IF(CI$16 = "","", IF(CI$16 =( 'Model_Assumptions'!$B$8 +1), CI$20 * $E$9, IF(CI$16 &lt;= 'Model_Assumptions'!$C$8, CI$20 * $C$9, IF(CI$16 &gt;= ('Model_Assumptions'!$C$8 + 1), CI$20 * $D$9))))</f>
        <v/>
      </c>
      <c r="CJ21" s="21">
        <f>IF(CJ$16 = "","", IF(CJ$16 =( 'Model_Assumptions'!$B$8 +1), CJ$20 * $E$9, IF(CJ$16 &lt;= 'Model_Assumptions'!$C$8, CJ$20 * $C$9, IF(CJ$16 &gt;= ('Model_Assumptions'!$C$8 + 1), CJ$20 * $D$9))))</f>
        <v/>
      </c>
      <c r="CK21" s="21">
        <f>IF(CK$16 = "","", IF(CK$16 =( 'Model_Assumptions'!$B$8 +1), CK$20 * $E$9, IF(CK$16 &lt;= 'Model_Assumptions'!$C$8, CK$20 * $C$9, IF(CK$16 &gt;= ('Model_Assumptions'!$C$8 + 1), CK$20 * $D$9))))</f>
        <v/>
      </c>
      <c r="CL21" s="21">
        <f>IF(CL$16 = "","", IF(CL$16 =( 'Model_Assumptions'!$B$8 +1), CL$20 * $E$9, IF(CL$16 &lt;= 'Model_Assumptions'!$C$8, CL$20 * $C$9, IF(CL$16 &gt;= ('Model_Assumptions'!$C$8 + 1), CL$20 * $D$9))))</f>
        <v/>
      </c>
      <c r="CM21" s="22">
        <f>IF(CM$16 = "","", IF(CM$16 =( 'Model_Assumptions'!$B$8 +1), CM$20 * $E$9, IF(CM$16 &lt;= 'Model_Assumptions'!$C$8, CM$20 * $C$9, IF(CM$16 &gt;= ('Model_Assumptions'!$C$8 + 1), CM$20 * $D$9))))</f>
        <v/>
      </c>
    </row>
    <row r="22">
      <c r="B22" s="19" t="inlineStr">
        <is>
          <t>Change in Working Capital</t>
        </is>
      </c>
      <c r="C22" s="20" t="inlineStr"/>
      <c r="D22" s="21">
        <f>IF(D$16="","",IF(D$16=('Model_Assumptions'!$B$8+1),( D$17-C$17)*$E$12,IF(D$16&lt;='Model_Assumptions'!$C$8,( D$17-C$17)*$C$12,IF(D$16&gt;=('Model_Assumptions'!$C$8 + 1), ( D$17-C$17)*$D$12, ""))))</f>
        <v/>
      </c>
      <c r="E22" s="21">
        <f>IF(E$16="","",IF(E$16=('Model_Assumptions'!$B$8+1),( E$17-D$17)*$E$12,IF(E$16&lt;='Model_Assumptions'!$C$8,( E$17-D$17)*$C$12,IF(E$16&gt;=('Model_Assumptions'!$C$8 + 1), ( E$17-D$17)*$D$12, ""))))</f>
        <v/>
      </c>
      <c r="F22" s="21">
        <f>IF(F$16="","",IF(F$16=('Model_Assumptions'!$B$8+1),( F$17-E$17)*$E$12,IF(F$16&lt;='Model_Assumptions'!$C$8,( F$17-E$17)*$C$12,IF(F$16&gt;=('Model_Assumptions'!$C$8 + 1), ( F$17-E$17)*$D$12, ""))))</f>
        <v/>
      </c>
      <c r="G22" s="21">
        <f>IF(G$16="","",IF(G$16=('Model_Assumptions'!$B$8+1),( G$17-F$17)*$E$12,IF(G$16&lt;='Model_Assumptions'!$C$8,( G$17-F$17)*$C$12,IF(G$16&gt;=('Model_Assumptions'!$C$8 + 1), ( G$17-F$17)*$D$12, ""))))</f>
        <v/>
      </c>
      <c r="H22" s="21">
        <f>IF(H$16="","",IF(H$16=('Model_Assumptions'!$B$8+1),( H$17-G$17)*$E$12,IF(H$16&lt;='Model_Assumptions'!$C$8,( H$17-G$17)*$C$12,IF(H$16&gt;=('Model_Assumptions'!$C$8 + 1), ( H$17-G$17)*$D$12, ""))))</f>
        <v/>
      </c>
      <c r="I22" s="21">
        <f>IF(I$16="","",IF(I$16=('Model_Assumptions'!$B$8+1),( I$17-H$17)*$E$12,IF(I$16&lt;='Model_Assumptions'!$C$8,( I$17-H$17)*$C$12,IF(I$16&gt;=('Model_Assumptions'!$C$8 + 1), ( I$17-H$17)*$D$12, ""))))</f>
        <v/>
      </c>
      <c r="J22" s="21">
        <f>IF(J$16="","",IF(J$16=('Model_Assumptions'!$B$8+1),( J$17-I$17)*$E$12,IF(J$16&lt;='Model_Assumptions'!$C$8,( J$17-I$17)*$C$12,IF(J$16&gt;=('Model_Assumptions'!$C$8 + 1), ( J$17-I$17)*$D$12, ""))))</f>
        <v/>
      </c>
      <c r="K22" s="21">
        <f>IF(K$16="","",IF(K$16=('Model_Assumptions'!$B$8+1),( K$17-J$17)*$E$12,IF(K$16&lt;='Model_Assumptions'!$C$8,( K$17-J$17)*$C$12,IF(K$16&gt;=('Model_Assumptions'!$C$8 + 1), ( K$17-J$17)*$D$12, ""))))</f>
        <v/>
      </c>
      <c r="L22" s="21">
        <f>IF(L$16="","",IF(L$16=('Model_Assumptions'!$B$8+1),( L$17-K$17)*$E$12,IF(L$16&lt;='Model_Assumptions'!$C$8,( L$17-K$17)*$C$12,IF(L$16&gt;=('Model_Assumptions'!$C$8 + 1), ( L$17-K$17)*$D$12, ""))))</f>
        <v/>
      </c>
      <c r="M22" s="21">
        <f>IF(M$16="","",IF(M$16=('Model_Assumptions'!$B$8+1),( M$17-L$17)*$E$12,IF(M$16&lt;='Model_Assumptions'!$C$8,( M$17-L$17)*$C$12,IF(M$16&gt;=('Model_Assumptions'!$C$8 + 1), ( M$17-L$17)*$D$12, ""))))</f>
        <v/>
      </c>
      <c r="N22" s="21">
        <f>IF(N$16="","",IF(N$16=('Model_Assumptions'!$B$8+1),( N$17-M$17)*$E$12,IF(N$16&lt;='Model_Assumptions'!$C$8,( N$17-M$17)*$C$12,IF(N$16&gt;=('Model_Assumptions'!$C$8 + 1), ( N$17-M$17)*$D$12, ""))))</f>
        <v/>
      </c>
      <c r="O22" s="21">
        <f>IF(O$16="","",IF(O$16=('Model_Assumptions'!$B$8+1),( O$17-N$17)*$E$12,IF(O$16&lt;='Model_Assumptions'!$C$8,( O$17-N$17)*$C$12,IF(O$16&gt;=('Model_Assumptions'!$C$8 + 1), ( O$17-N$17)*$D$12, ""))))</f>
        <v/>
      </c>
      <c r="P22" s="21">
        <f>IF(P$16="","",IF(P$16=('Model_Assumptions'!$B$8+1),( P$17-O$17)*$E$12,IF(P$16&lt;='Model_Assumptions'!$C$8,( P$17-O$17)*$C$12,IF(P$16&gt;=('Model_Assumptions'!$C$8 + 1), ( P$17-O$17)*$D$12, ""))))</f>
        <v/>
      </c>
      <c r="Q22" s="21">
        <f>IF(Q$16="","",IF(Q$16=('Model_Assumptions'!$B$8+1),( Q$17-P$17)*$E$12,IF(Q$16&lt;='Model_Assumptions'!$C$8,( Q$17-P$17)*$C$12,IF(Q$16&gt;=('Model_Assumptions'!$C$8 + 1), ( Q$17-P$17)*$D$12, ""))))</f>
        <v/>
      </c>
      <c r="R22" s="21">
        <f>IF(R$16="","",IF(R$16=('Model_Assumptions'!$B$8+1),( R$17-Q$17)*$E$12,IF(R$16&lt;='Model_Assumptions'!$C$8,( R$17-Q$17)*$C$12,IF(R$16&gt;=('Model_Assumptions'!$C$8 + 1), ( R$17-Q$17)*$D$12, ""))))</f>
        <v/>
      </c>
      <c r="S22" s="21">
        <f>IF(S$16="","",IF(S$16=('Model_Assumptions'!$B$8+1),( S$17-R$17)*$E$12,IF(S$16&lt;='Model_Assumptions'!$C$8,( S$17-R$17)*$C$12,IF(S$16&gt;=('Model_Assumptions'!$C$8 + 1), ( S$17-R$17)*$D$12, ""))))</f>
        <v/>
      </c>
      <c r="T22" s="21">
        <f>IF(T$16="","",IF(T$16=('Model_Assumptions'!$B$8+1),( T$17-S$17)*$E$12,IF(T$16&lt;='Model_Assumptions'!$C$8,( T$17-S$17)*$C$12,IF(T$16&gt;=('Model_Assumptions'!$C$8 + 1), ( T$17-S$17)*$D$12, ""))))</f>
        <v/>
      </c>
      <c r="U22" s="21">
        <f>IF(U$16="","",IF(U$16=('Model_Assumptions'!$B$8+1),( U$17-T$17)*$E$12,IF(U$16&lt;='Model_Assumptions'!$C$8,( U$17-T$17)*$C$12,IF(U$16&gt;=('Model_Assumptions'!$C$8 + 1), ( U$17-T$17)*$D$12, ""))))</f>
        <v/>
      </c>
      <c r="V22" s="21">
        <f>IF(V$16="","",IF(V$16=('Model_Assumptions'!$B$8+1),( V$17-U$17)*$E$12,IF(V$16&lt;='Model_Assumptions'!$C$8,( V$17-U$17)*$C$12,IF(V$16&gt;=('Model_Assumptions'!$C$8 + 1), ( V$17-U$17)*$D$12, ""))))</f>
        <v/>
      </c>
      <c r="W22" s="21">
        <f>IF(W$16="","",IF(W$16=('Model_Assumptions'!$B$8+1),( W$17-V$17)*$E$12,IF(W$16&lt;='Model_Assumptions'!$C$8,( W$17-V$17)*$C$12,IF(W$16&gt;=('Model_Assumptions'!$C$8 + 1), ( W$17-V$17)*$D$12, ""))))</f>
        <v/>
      </c>
      <c r="X22" s="21">
        <f>IF(X$16="","",IF(X$16=('Model_Assumptions'!$B$8+1),( X$17-W$17)*$E$12,IF(X$16&lt;='Model_Assumptions'!$C$8,( X$17-W$17)*$C$12,IF(X$16&gt;=('Model_Assumptions'!$C$8 + 1), ( X$17-W$17)*$D$12, ""))))</f>
        <v/>
      </c>
      <c r="Y22" s="21">
        <f>IF(Y$16="","",IF(Y$16=('Model_Assumptions'!$B$8+1),( Y$17-X$17)*$E$12,IF(Y$16&lt;='Model_Assumptions'!$C$8,( Y$17-X$17)*$C$12,IF(Y$16&gt;=('Model_Assumptions'!$C$8 + 1), ( Y$17-X$17)*$D$12, ""))))</f>
        <v/>
      </c>
      <c r="Z22" s="21">
        <f>IF(Z$16="","",IF(Z$16=('Model_Assumptions'!$B$8+1),( Z$17-Y$17)*$E$12,IF(Z$16&lt;='Model_Assumptions'!$C$8,( Z$17-Y$17)*$C$12,IF(Z$16&gt;=('Model_Assumptions'!$C$8 + 1), ( Z$17-Y$17)*$D$12, ""))))</f>
        <v/>
      </c>
      <c r="AA22" s="21">
        <f>IF(AA$16="","",IF(AA$16=('Model_Assumptions'!$B$8+1),( AA$17-Z$17)*$E$12,IF(AA$16&lt;='Model_Assumptions'!$C$8,( AA$17-Z$17)*$C$12,IF(AA$16&gt;=('Model_Assumptions'!$C$8 + 1), ( AA$17-Z$17)*$D$12, ""))))</f>
        <v/>
      </c>
      <c r="AB22" s="21">
        <f>IF(AB$16="","",IF(AB$16=('Model_Assumptions'!$B$8+1),( AB$17-AA$17)*$E$12,IF(AB$16&lt;='Model_Assumptions'!$C$8,( AB$17-AA$17)*$C$12,IF(AB$16&gt;=('Model_Assumptions'!$C$8 + 1), ( AB$17-AA$17)*$D$12, ""))))</f>
        <v/>
      </c>
      <c r="AC22" s="21">
        <f>IF(AC$16="","",IF(AC$16=('Model_Assumptions'!$B$8+1),( AC$17-AB$17)*$E$12,IF(AC$16&lt;='Model_Assumptions'!$C$8,( AC$17-AB$17)*$C$12,IF(AC$16&gt;=('Model_Assumptions'!$C$8 + 1), ( AC$17-AB$17)*$D$12, ""))))</f>
        <v/>
      </c>
      <c r="AD22" s="21">
        <f>IF(AD$16="","",IF(AD$16=('Model_Assumptions'!$B$8+1),( AD$17-AC$17)*$E$12,IF(AD$16&lt;='Model_Assumptions'!$C$8,( AD$17-AC$17)*$C$12,IF(AD$16&gt;=('Model_Assumptions'!$C$8 + 1), ( AD$17-AC$17)*$D$12, ""))))</f>
        <v/>
      </c>
      <c r="AE22" s="21">
        <f>IF(AE$16="","",IF(AE$16=('Model_Assumptions'!$B$8+1),( AE$17-AD$17)*$E$12,IF(AE$16&lt;='Model_Assumptions'!$C$8,( AE$17-AD$17)*$C$12,IF(AE$16&gt;=('Model_Assumptions'!$C$8 + 1), ( AE$17-AD$17)*$D$12, ""))))</f>
        <v/>
      </c>
      <c r="AF22" s="21">
        <f>IF(AF$16="","",IF(AF$16=('Model_Assumptions'!$B$8+1),( AF$17-AE$17)*$E$12,IF(AF$16&lt;='Model_Assumptions'!$C$8,( AF$17-AE$17)*$C$12,IF(AF$16&gt;=('Model_Assumptions'!$C$8 + 1), ( AF$17-AE$17)*$D$12, ""))))</f>
        <v/>
      </c>
      <c r="AG22" s="21">
        <f>IF(AG$16="","",IF(AG$16=('Model_Assumptions'!$B$8+1),( AG$17-AF$17)*$E$12,IF(AG$16&lt;='Model_Assumptions'!$C$8,( AG$17-AF$17)*$C$12,IF(AG$16&gt;=('Model_Assumptions'!$C$8 + 1), ( AG$17-AF$17)*$D$12, ""))))</f>
        <v/>
      </c>
      <c r="AH22" s="21">
        <f>IF(AH$16="","",IF(AH$16=('Model_Assumptions'!$B$8+1),( AH$17-AG$17)*$E$12,IF(AH$16&lt;='Model_Assumptions'!$C$8,( AH$17-AG$17)*$C$12,IF(AH$16&gt;=('Model_Assumptions'!$C$8 + 1), ( AH$17-AG$17)*$D$12, ""))))</f>
        <v/>
      </c>
      <c r="AI22" s="21">
        <f>IF(AI$16="","",IF(AI$16=('Model_Assumptions'!$B$8+1),( AI$17-AH$17)*$E$12,IF(AI$16&lt;='Model_Assumptions'!$C$8,( AI$17-AH$17)*$C$12,IF(AI$16&gt;=('Model_Assumptions'!$C$8 + 1), ( AI$17-AH$17)*$D$12, ""))))</f>
        <v/>
      </c>
      <c r="AJ22" s="21">
        <f>IF(AJ$16="","",IF(AJ$16=('Model_Assumptions'!$B$8+1),( AJ$17-AI$17)*$E$12,IF(AJ$16&lt;='Model_Assumptions'!$C$8,( AJ$17-AI$17)*$C$12,IF(AJ$16&gt;=('Model_Assumptions'!$C$8 + 1), ( AJ$17-AI$17)*$D$12, ""))))</f>
        <v/>
      </c>
      <c r="AK22" s="21">
        <f>IF(AK$16="","",IF(AK$16=('Model_Assumptions'!$B$8+1),( AK$17-AJ$17)*$E$12,IF(AK$16&lt;='Model_Assumptions'!$C$8,( AK$17-AJ$17)*$C$12,IF(AK$16&gt;=('Model_Assumptions'!$C$8 + 1), ( AK$17-AJ$17)*$D$12, ""))))</f>
        <v/>
      </c>
      <c r="AL22" s="21">
        <f>IF(AL$16="","",IF(AL$16=('Model_Assumptions'!$B$8+1),( AL$17-AK$17)*$E$12,IF(AL$16&lt;='Model_Assumptions'!$C$8,( AL$17-AK$17)*$C$12,IF(AL$16&gt;=('Model_Assumptions'!$C$8 + 1), ( AL$17-AK$17)*$D$12, ""))))</f>
        <v/>
      </c>
      <c r="AM22" s="21">
        <f>IF(AM$16="","",IF(AM$16=('Model_Assumptions'!$B$8+1),( AM$17-AL$17)*$E$12,IF(AM$16&lt;='Model_Assumptions'!$C$8,( AM$17-AL$17)*$C$12,IF(AM$16&gt;=('Model_Assumptions'!$C$8 + 1), ( AM$17-AL$17)*$D$12, ""))))</f>
        <v/>
      </c>
      <c r="AN22" s="21">
        <f>IF(AN$16="","",IF(AN$16=('Model_Assumptions'!$B$8+1),( AN$17-AM$17)*$E$12,IF(AN$16&lt;='Model_Assumptions'!$C$8,( AN$17-AM$17)*$C$12,IF(AN$16&gt;=('Model_Assumptions'!$C$8 + 1), ( AN$17-AM$17)*$D$12, ""))))</f>
        <v/>
      </c>
      <c r="AO22" s="21">
        <f>IF(AO$16="","",IF(AO$16=('Model_Assumptions'!$B$8+1),( AO$17-AN$17)*$E$12,IF(AO$16&lt;='Model_Assumptions'!$C$8,( AO$17-AN$17)*$C$12,IF(AO$16&gt;=('Model_Assumptions'!$C$8 + 1), ( AO$17-AN$17)*$D$12, ""))))</f>
        <v/>
      </c>
      <c r="AP22" s="21">
        <f>IF(AP$16="","",IF(AP$16=('Model_Assumptions'!$B$8+1),( AP$17-AO$17)*$E$12,IF(AP$16&lt;='Model_Assumptions'!$C$8,( AP$17-AO$17)*$C$12,IF(AP$16&gt;=('Model_Assumptions'!$C$8 + 1), ( AP$17-AO$17)*$D$12, ""))))</f>
        <v/>
      </c>
      <c r="AQ22" s="21">
        <f>IF(AQ$16="","",IF(AQ$16=('Model_Assumptions'!$B$8+1),( AQ$17-AP$17)*$E$12,IF(AQ$16&lt;='Model_Assumptions'!$C$8,( AQ$17-AP$17)*$C$12,IF(AQ$16&gt;=('Model_Assumptions'!$C$8 + 1), ( AQ$17-AP$17)*$D$12, ""))))</f>
        <v/>
      </c>
      <c r="AR22" s="21">
        <f>IF(AR$16="","",IF(AR$16=('Model_Assumptions'!$B$8+1),( AR$17-AQ$17)*$E$12,IF(AR$16&lt;='Model_Assumptions'!$C$8,( AR$17-AQ$17)*$C$12,IF(AR$16&gt;=('Model_Assumptions'!$C$8 + 1), ( AR$17-AQ$17)*$D$12, ""))))</f>
        <v/>
      </c>
      <c r="AS22" s="21">
        <f>IF(AS$16="","",IF(AS$16=('Model_Assumptions'!$B$8+1),( AS$17-AR$17)*$E$12,IF(AS$16&lt;='Model_Assumptions'!$C$8,( AS$17-AR$17)*$C$12,IF(AS$16&gt;=('Model_Assumptions'!$C$8 + 1), ( AS$17-AR$17)*$D$12, ""))))</f>
        <v/>
      </c>
      <c r="AT22" s="21">
        <f>IF(AT$16="","",IF(AT$16=('Model_Assumptions'!$B$8+1),( AT$17-AS$17)*$E$12,IF(AT$16&lt;='Model_Assumptions'!$C$8,( AT$17-AS$17)*$C$12,IF(AT$16&gt;=('Model_Assumptions'!$C$8 + 1), ( AT$17-AS$17)*$D$12, ""))))</f>
        <v/>
      </c>
      <c r="AU22" s="21">
        <f>IF(AU$16="","",IF(AU$16=('Model_Assumptions'!$B$8+1),( AU$17-AT$17)*$E$12,IF(AU$16&lt;='Model_Assumptions'!$C$8,( AU$17-AT$17)*$C$12,IF(AU$16&gt;=('Model_Assumptions'!$C$8 + 1), ( AU$17-AT$17)*$D$12, ""))))</f>
        <v/>
      </c>
      <c r="AV22" s="21">
        <f>IF(AV$16="","",IF(AV$16=('Model_Assumptions'!$B$8+1),( AV$17-AU$17)*$E$12,IF(AV$16&lt;='Model_Assumptions'!$C$8,( AV$17-AU$17)*$C$12,IF(AV$16&gt;=('Model_Assumptions'!$C$8 + 1), ( AV$17-AU$17)*$D$12, ""))))</f>
        <v/>
      </c>
      <c r="AW22" s="21">
        <f>IF(AW$16="","",IF(AW$16=('Model_Assumptions'!$B$8+1),( AW$17-AV$17)*$E$12,IF(AW$16&lt;='Model_Assumptions'!$C$8,( AW$17-AV$17)*$C$12,IF(AW$16&gt;=('Model_Assumptions'!$C$8 + 1), ( AW$17-AV$17)*$D$12, ""))))</f>
        <v/>
      </c>
      <c r="AX22" s="21">
        <f>IF(AX$16="","",IF(AX$16=('Model_Assumptions'!$B$8+1),( AX$17-AW$17)*$E$12,IF(AX$16&lt;='Model_Assumptions'!$C$8,( AX$17-AW$17)*$C$12,IF(AX$16&gt;=('Model_Assumptions'!$C$8 + 1), ( AX$17-AW$17)*$D$12, ""))))</f>
        <v/>
      </c>
      <c r="AY22" s="21">
        <f>IF(AY$16="","",IF(AY$16=('Model_Assumptions'!$B$8+1),( AY$17-AX$17)*$E$12,IF(AY$16&lt;='Model_Assumptions'!$C$8,( AY$17-AX$17)*$C$12,IF(AY$16&gt;=('Model_Assumptions'!$C$8 + 1), ( AY$17-AX$17)*$D$12, ""))))</f>
        <v/>
      </c>
      <c r="AZ22" s="21">
        <f>IF(AZ$16="","",IF(AZ$16=('Model_Assumptions'!$B$8+1),( AZ$17-AY$17)*$E$12,IF(AZ$16&lt;='Model_Assumptions'!$C$8,( AZ$17-AY$17)*$C$12,IF(AZ$16&gt;=('Model_Assumptions'!$C$8 + 1), ( AZ$17-AY$17)*$D$12, ""))))</f>
        <v/>
      </c>
      <c r="BA22" s="21">
        <f>IF(BA$16="","",IF(BA$16=('Model_Assumptions'!$B$8+1),( BA$17-AZ$17)*$E$12,IF(BA$16&lt;='Model_Assumptions'!$C$8,( BA$17-AZ$17)*$C$12,IF(BA$16&gt;=('Model_Assumptions'!$C$8 + 1), ( BA$17-AZ$17)*$D$12, ""))))</f>
        <v/>
      </c>
      <c r="BB22" s="21">
        <f>IF(BB$16="","",IF(BB$16=('Model_Assumptions'!$B$8+1),( BB$17-BA$17)*$E$12,IF(BB$16&lt;='Model_Assumptions'!$C$8,( BB$17-BA$17)*$C$12,IF(BB$16&gt;=('Model_Assumptions'!$C$8 + 1), ( BB$17-BA$17)*$D$12, ""))))</f>
        <v/>
      </c>
      <c r="BC22" s="21">
        <f>IF(BC$16="","",IF(BC$16=('Model_Assumptions'!$B$8+1),( BC$17-BB$17)*$E$12,IF(BC$16&lt;='Model_Assumptions'!$C$8,( BC$17-BB$17)*$C$12,IF(BC$16&gt;=('Model_Assumptions'!$C$8 + 1), ( BC$17-BB$17)*$D$12, ""))))</f>
        <v/>
      </c>
      <c r="BD22" s="21">
        <f>IF(BD$16="","",IF(BD$16=('Model_Assumptions'!$B$8+1),( BD$17-BC$17)*$E$12,IF(BD$16&lt;='Model_Assumptions'!$C$8,( BD$17-BC$17)*$C$12,IF(BD$16&gt;=('Model_Assumptions'!$C$8 + 1), ( BD$17-BC$17)*$D$12, ""))))</f>
        <v/>
      </c>
      <c r="BE22" s="21">
        <f>IF(BE$16="","",IF(BE$16=('Model_Assumptions'!$B$8+1),( BE$17-BD$17)*$E$12,IF(BE$16&lt;='Model_Assumptions'!$C$8,( BE$17-BD$17)*$C$12,IF(BE$16&gt;=('Model_Assumptions'!$C$8 + 1), ( BE$17-BD$17)*$D$12, ""))))</f>
        <v/>
      </c>
      <c r="BF22" s="21">
        <f>IF(BF$16="","",IF(BF$16=('Model_Assumptions'!$B$8+1),( BF$17-BE$17)*$E$12,IF(BF$16&lt;='Model_Assumptions'!$C$8,( BF$17-BE$17)*$C$12,IF(BF$16&gt;=('Model_Assumptions'!$C$8 + 1), ( BF$17-BE$17)*$D$12, ""))))</f>
        <v/>
      </c>
      <c r="BG22" s="21">
        <f>IF(BG$16="","",IF(BG$16=('Model_Assumptions'!$B$8+1),( BG$17-BF$17)*$E$12,IF(BG$16&lt;='Model_Assumptions'!$C$8,( BG$17-BF$17)*$C$12,IF(BG$16&gt;=('Model_Assumptions'!$C$8 + 1), ( BG$17-BF$17)*$D$12, ""))))</f>
        <v/>
      </c>
      <c r="BH22" s="21">
        <f>IF(BH$16="","",IF(BH$16=('Model_Assumptions'!$B$8+1),( BH$17-BG$17)*$E$12,IF(BH$16&lt;='Model_Assumptions'!$C$8,( BH$17-BG$17)*$C$12,IF(BH$16&gt;=('Model_Assumptions'!$C$8 + 1), ( BH$17-BG$17)*$D$12, ""))))</f>
        <v/>
      </c>
      <c r="BI22" s="21">
        <f>IF(BI$16="","",IF(BI$16=('Model_Assumptions'!$B$8+1),( BI$17-BH$17)*$E$12,IF(BI$16&lt;='Model_Assumptions'!$C$8,( BI$17-BH$17)*$C$12,IF(BI$16&gt;=('Model_Assumptions'!$C$8 + 1), ( BI$17-BH$17)*$D$12, ""))))</f>
        <v/>
      </c>
      <c r="BJ22" s="21">
        <f>IF(BJ$16="","",IF(BJ$16=('Model_Assumptions'!$B$8+1),( BJ$17-BI$17)*$E$12,IF(BJ$16&lt;='Model_Assumptions'!$C$8,( BJ$17-BI$17)*$C$12,IF(BJ$16&gt;=('Model_Assumptions'!$C$8 + 1), ( BJ$17-BI$17)*$D$12, ""))))</f>
        <v/>
      </c>
      <c r="BK22" s="21">
        <f>IF(BK$16="","",IF(BK$16=('Model_Assumptions'!$B$8+1),( BK$17-BJ$17)*$E$12,IF(BK$16&lt;='Model_Assumptions'!$C$8,( BK$17-BJ$17)*$C$12,IF(BK$16&gt;=('Model_Assumptions'!$C$8 + 1), ( BK$17-BJ$17)*$D$12, ""))))</f>
        <v/>
      </c>
      <c r="BL22" s="21">
        <f>IF(BL$16="","",IF(BL$16=('Model_Assumptions'!$B$8+1),( BL$17-BK$17)*$E$12,IF(BL$16&lt;='Model_Assumptions'!$C$8,( BL$17-BK$17)*$C$12,IF(BL$16&gt;=('Model_Assumptions'!$C$8 + 1), ( BL$17-BK$17)*$D$12, ""))))</f>
        <v/>
      </c>
      <c r="BM22" s="21">
        <f>IF(BM$16="","",IF(BM$16=('Model_Assumptions'!$B$8+1),( BM$17-BL$17)*$E$12,IF(BM$16&lt;='Model_Assumptions'!$C$8,( BM$17-BL$17)*$C$12,IF(BM$16&gt;=('Model_Assumptions'!$C$8 + 1), ( BM$17-BL$17)*$D$12, ""))))</f>
        <v/>
      </c>
      <c r="BN22" s="21">
        <f>IF(BN$16="","",IF(BN$16=('Model_Assumptions'!$B$8+1),( BN$17-BM$17)*$E$12,IF(BN$16&lt;='Model_Assumptions'!$C$8,( BN$17-BM$17)*$C$12,IF(BN$16&gt;=('Model_Assumptions'!$C$8 + 1), ( BN$17-BM$17)*$D$12, ""))))</f>
        <v/>
      </c>
      <c r="BO22" s="21">
        <f>IF(BO$16="","",IF(BO$16=('Model_Assumptions'!$B$8+1),( BO$17-BN$17)*$E$12,IF(BO$16&lt;='Model_Assumptions'!$C$8,( BO$17-BN$17)*$C$12,IF(BO$16&gt;=('Model_Assumptions'!$C$8 + 1), ( BO$17-BN$17)*$D$12, ""))))</f>
        <v/>
      </c>
      <c r="BP22" s="21">
        <f>IF(BP$16="","",IF(BP$16=('Model_Assumptions'!$B$8+1),( BP$17-BO$17)*$E$12,IF(BP$16&lt;='Model_Assumptions'!$C$8,( BP$17-BO$17)*$C$12,IF(BP$16&gt;=('Model_Assumptions'!$C$8 + 1), ( BP$17-BO$17)*$D$12, ""))))</f>
        <v/>
      </c>
      <c r="BQ22" s="21">
        <f>IF(BQ$16="","",IF(BQ$16=('Model_Assumptions'!$B$8+1),( BQ$17-BP$17)*$E$12,IF(BQ$16&lt;='Model_Assumptions'!$C$8,( BQ$17-BP$17)*$C$12,IF(BQ$16&gt;=('Model_Assumptions'!$C$8 + 1), ( BQ$17-BP$17)*$D$12, ""))))</f>
        <v/>
      </c>
      <c r="BR22" s="21">
        <f>IF(BR$16="","",IF(BR$16=('Model_Assumptions'!$B$8+1),( BR$17-BQ$17)*$E$12,IF(BR$16&lt;='Model_Assumptions'!$C$8,( BR$17-BQ$17)*$C$12,IF(BR$16&gt;=('Model_Assumptions'!$C$8 + 1), ( BR$17-BQ$17)*$D$12, ""))))</f>
        <v/>
      </c>
      <c r="BS22" s="21">
        <f>IF(BS$16="","",IF(BS$16=('Model_Assumptions'!$B$8+1),( BS$17-BR$17)*$E$12,IF(BS$16&lt;='Model_Assumptions'!$C$8,( BS$17-BR$17)*$C$12,IF(BS$16&gt;=('Model_Assumptions'!$C$8 + 1), ( BS$17-BR$17)*$D$12, ""))))</f>
        <v/>
      </c>
      <c r="BT22" s="21">
        <f>IF(BT$16="","",IF(BT$16=('Model_Assumptions'!$B$8+1),( BT$17-BS$17)*$E$12,IF(BT$16&lt;='Model_Assumptions'!$C$8,( BT$17-BS$17)*$C$12,IF(BT$16&gt;=('Model_Assumptions'!$C$8 + 1), ( BT$17-BS$17)*$D$12, ""))))</f>
        <v/>
      </c>
      <c r="BU22" s="21">
        <f>IF(BU$16="","",IF(BU$16=('Model_Assumptions'!$B$8+1),( BU$17-BT$17)*$E$12,IF(BU$16&lt;='Model_Assumptions'!$C$8,( BU$17-BT$17)*$C$12,IF(BU$16&gt;=('Model_Assumptions'!$C$8 + 1), ( BU$17-BT$17)*$D$12, ""))))</f>
        <v/>
      </c>
      <c r="BV22" s="21">
        <f>IF(BV$16="","",IF(BV$16=('Model_Assumptions'!$B$8+1),( BV$17-BU$17)*$E$12,IF(BV$16&lt;='Model_Assumptions'!$C$8,( BV$17-BU$17)*$C$12,IF(BV$16&gt;=('Model_Assumptions'!$C$8 + 1), ( BV$17-BU$17)*$D$12, ""))))</f>
        <v/>
      </c>
      <c r="BW22" s="21">
        <f>IF(BW$16="","",IF(BW$16=('Model_Assumptions'!$B$8+1),( BW$17-BV$17)*$E$12,IF(BW$16&lt;='Model_Assumptions'!$C$8,( BW$17-BV$17)*$C$12,IF(BW$16&gt;=('Model_Assumptions'!$C$8 + 1), ( BW$17-BV$17)*$D$12, ""))))</f>
        <v/>
      </c>
      <c r="BX22" s="21">
        <f>IF(BX$16="","",IF(BX$16=('Model_Assumptions'!$B$8+1),( BX$17-BW$17)*$E$12,IF(BX$16&lt;='Model_Assumptions'!$C$8,( BX$17-BW$17)*$C$12,IF(BX$16&gt;=('Model_Assumptions'!$C$8 + 1), ( BX$17-BW$17)*$D$12, ""))))</f>
        <v/>
      </c>
      <c r="BY22" s="21">
        <f>IF(BY$16="","",IF(BY$16=('Model_Assumptions'!$B$8+1),( BY$17-BX$17)*$E$12,IF(BY$16&lt;='Model_Assumptions'!$C$8,( BY$17-BX$17)*$C$12,IF(BY$16&gt;=('Model_Assumptions'!$C$8 + 1), ( BY$17-BX$17)*$D$12, ""))))</f>
        <v/>
      </c>
      <c r="BZ22" s="21">
        <f>IF(BZ$16="","",IF(BZ$16=('Model_Assumptions'!$B$8+1),( BZ$17-BY$17)*$E$12,IF(BZ$16&lt;='Model_Assumptions'!$C$8,( BZ$17-BY$17)*$C$12,IF(BZ$16&gt;=('Model_Assumptions'!$C$8 + 1), ( BZ$17-BY$17)*$D$12, ""))))</f>
        <v/>
      </c>
      <c r="CA22" s="21">
        <f>IF(CA$16="","",IF(CA$16=('Model_Assumptions'!$B$8+1),( CA$17-BZ$17)*$E$12,IF(CA$16&lt;='Model_Assumptions'!$C$8,( CA$17-BZ$17)*$C$12,IF(CA$16&gt;=('Model_Assumptions'!$C$8 + 1), ( CA$17-BZ$17)*$D$12, ""))))</f>
        <v/>
      </c>
      <c r="CB22" s="21">
        <f>IF(CB$16="","",IF(CB$16=('Model_Assumptions'!$B$8+1),( CB$17-CA$17)*$E$12,IF(CB$16&lt;='Model_Assumptions'!$C$8,( CB$17-CA$17)*$C$12,IF(CB$16&gt;=('Model_Assumptions'!$C$8 + 1), ( CB$17-CA$17)*$D$12, ""))))</f>
        <v/>
      </c>
      <c r="CC22" s="21">
        <f>IF(CC$16="","",IF(CC$16=('Model_Assumptions'!$B$8+1),( CC$17-CB$17)*$E$12,IF(CC$16&lt;='Model_Assumptions'!$C$8,( CC$17-CB$17)*$C$12,IF(CC$16&gt;=('Model_Assumptions'!$C$8 + 1), ( CC$17-CB$17)*$D$12, ""))))</f>
        <v/>
      </c>
      <c r="CD22" s="21">
        <f>IF(CD$16="","",IF(CD$16=('Model_Assumptions'!$B$8+1),( CD$17-CC$17)*$E$12,IF(CD$16&lt;='Model_Assumptions'!$C$8,( CD$17-CC$17)*$C$12,IF(CD$16&gt;=('Model_Assumptions'!$C$8 + 1), ( CD$17-CC$17)*$D$12, ""))))</f>
        <v/>
      </c>
      <c r="CE22" s="21">
        <f>IF(CE$16="","",IF(CE$16=('Model_Assumptions'!$B$8+1),( CE$17-CD$17)*$E$12,IF(CE$16&lt;='Model_Assumptions'!$C$8,( CE$17-CD$17)*$C$12,IF(CE$16&gt;=('Model_Assumptions'!$C$8 + 1), ( CE$17-CD$17)*$D$12, ""))))</f>
        <v/>
      </c>
      <c r="CF22" s="21">
        <f>IF(CF$16="","",IF(CF$16=('Model_Assumptions'!$B$8+1),( CF$17-CE$17)*$E$12,IF(CF$16&lt;='Model_Assumptions'!$C$8,( CF$17-CE$17)*$C$12,IF(CF$16&gt;=('Model_Assumptions'!$C$8 + 1), ( CF$17-CE$17)*$D$12, ""))))</f>
        <v/>
      </c>
      <c r="CG22" s="21">
        <f>IF(CG$16="","",IF(CG$16=('Model_Assumptions'!$B$8+1),( CG$17-CF$17)*$E$12,IF(CG$16&lt;='Model_Assumptions'!$C$8,( CG$17-CF$17)*$C$12,IF(CG$16&gt;=('Model_Assumptions'!$C$8 + 1), ( CG$17-CF$17)*$D$12, ""))))</f>
        <v/>
      </c>
      <c r="CH22" s="21">
        <f>IF(CH$16="","",IF(CH$16=('Model_Assumptions'!$B$8+1),( CH$17-CG$17)*$E$12,IF(CH$16&lt;='Model_Assumptions'!$C$8,( CH$17-CG$17)*$C$12,IF(CH$16&gt;=('Model_Assumptions'!$C$8 + 1), ( CH$17-CG$17)*$D$12, ""))))</f>
        <v/>
      </c>
      <c r="CI22" s="21">
        <f>IF(CI$16="","",IF(CI$16=('Model_Assumptions'!$B$8+1),( CI$17-CH$17)*$E$12,IF(CI$16&lt;='Model_Assumptions'!$C$8,( CI$17-CH$17)*$C$12,IF(CI$16&gt;=('Model_Assumptions'!$C$8 + 1), ( CI$17-CH$17)*$D$12, ""))))</f>
        <v/>
      </c>
      <c r="CJ22" s="21">
        <f>IF(CJ$16="","",IF(CJ$16=('Model_Assumptions'!$B$8+1),( CJ$17-CI$17)*$E$12,IF(CJ$16&lt;='Model_Assumptions'!$C$8,( CJ$17-CI$17)*$C$12,IF(CJ$16&gt;=('Model_Assumptions'!$C$8 + 1), ( CJ$17-CI$17)*$D$12, ""))))</f>
        <v/>
      </c>
      <c r="CK22" s="21">
        <f>IF(CK$16="","",IF(CK$16=('Model_Assumptions'!$B$8+1),( CK$17-CJ$17)*$E$12,IF(CK$16&lt;='Model_Assumptions'!$C$8,( CK$17-CJ$17)*$C$12,IF(CK$16&gt;=('Model_Assumptions'!$C$8 + 1), ( CK$17-CJ$17)*$D$12, ""))))</f>
        <v/>
      </c>
      <c r="CL22" s="21">
        <f>IF(CL$16="","",IF(CL$16=('Model_Assumptions'!$B$8+1),( CL$17-CK$17)*$E$12,IF(CL$16&lt;='Model_Assumptions'!$C$8,( CL$17-CK$17)*$C$12,IF(CL$16&gt;=('Model_Assumptions'!$C$8 + 1), ( CL$17-CK$17)*$D$12, ""))))</f>
        <v/>
      </c>
      <c r="CM22" s="22">
        <f>IF(CM$16="","",IF(CM$16=('Model_Assumptions'!$B$8+1),( CM$17-CL$17)*$E$12,IF(CM$16&lt;='Model_Assumptions'!$C$8,( CM$17-CL$17)*$C$12,IF(CM$16&gt;=('Model_Assumptions'!$C$8 + 1), ( CM$17-CL$17)*$D$12, ""))))</f>
        <v/>
      </c>
    </row>
    <row r="23">
      <c r="B23" s="23" t="inlineStr">
        <is>
          <t>Capital Expenditures</t>
        </is>
      </c>
      <c r="C23" s="24" t="inlineStr"/>
      <c r="D23" s="25">
        <f>IF(D$16="","",IF(D$16=('Model_Assumptions'!$B$8+1), D$17*$E$13,IF(D$16&lt;='Model_Assumptions'!$C$8,D$17*$C$13,IF(D$16&gt;=('Model_Assumptions'!$C$8 + 1), D$17*$D$13, ""))))</f>
        <v/>
      </c>
      <c r="E23" s="25">
        <f>IF(E$16="","",IF(E$16=('Model_Assumptions'!$B$8+1), E$17*$E$13,IF(E$16&lt;='Model_Assumptions'!$C$8,E$17*$C$13,IF(E$16&gt;=('Model_Assumptions'!$C$8 + 1), E$17*$D$13, ""))))</f>
        <v/>
      </c>
      <c r="F23" s="25">
        <f>IF(F$16="","",IF(F$16=('Model_Assumptions'!$B$8+1), F$17*$E$13,IF(F$16&lt;='Model_Assumptions'!$C$8,F$17*$C$13,IF(F$16&gt;=('Model_Assumptions'!$C$8 + 1), F$17*$D$13, ""))))</f>
        <v/>
      </c>
      <c r="G23" s="25">
        <f>IF(G$16="","",IF(G$16=('Model_Assumptions'!$B$8+1), G$17*$E$13,IF(G$16&lt;='Model_Assumptions'!$C$8,G$17*$C$13,IF(G$16&gt;=('Model_Assumptions'!$C$8 + 1), G$17*$D$13, ""))))</f>
        <v/>
      </c>
      <c r="H23" s="25">
        <f>IF(H$16="","",IF(H$16=('Model_Assumptions'!$B$8+1), H$17*$E$13,IF(H$16&lt;='Model_Assumptions'!$C$8,H$17*$C$13,IF(H$16&gt;=('Model_Assumptions'!$C$8 + 1), H$17*$D$13, ""))))</f>
        <v/>
      </c>
      <c r="I23" s="25">
        <f>IF(I$16="","",IF(I$16=('Model_Assumptions'!$B$8+1), I$17*$E$13,IF(I$16&lt;='Model_Assumptions'!$C$8,I$17*$C$13,IF(I$16&gt;=('Model_Assumptions'!$C$8 + 1), I$17*$D$13, ""))))</f>
        <v/>
      </c>
      <c r="J23" s="25">
        <f>IF(J$16="","",IF(J$16=('Model_Assumptions'!$B$8+1), J$17*$E$13,IF(J$16&lt;='Model_Assumptions'!$C$8,J$17*$C$13,IF(J$16&gt;=('Model_Assumptions'!$C$8 + 1), J$17*$D$13, ""))))</f>
        <v/>
      </c>
      <c r="K23" s="25">
        <f>IF(K$16="","",IF(K$16=('Model_Assumptions'!$B$8+1), K$17*$E$13,IF(K$16&lt;='Model_Assumptions'!$C$8,K$17*$C$13,IF(K$16&gt;=('Model_Assumptions'!$C$8 + 1), K$17*$D$13, ""))))</f>
        <v/>
      </c>
      <c r="L23" s="25">
        <f>IF(L$16="","",IF(L$16=('Model_Assumptions'!$B$8+1), L$17*$E$13,IF(L$16&lt;='Model_Assumptions'!$C$8,L$17*$C$13,IF(L$16&gt;=('Model_Assumptions'!$C$8 + 1), L$17*$D$13, ""))))</f>
        <v/>
      </c>
      <c r="M23" s="25">
        <f>IF(M$16="","",IF(M$16=('Model_Assumptions'!$B$8+1), M$17*$E$13,IF(M$16&lt;='Model_Assumptions'!$C$8,M$17*$C$13,IF(M$16&gt;=('Model_Assumptions'!$C$8 + 1), M$17*$D$13, ""))))</f>
        <v/>
      </c>
      <c r="N23" s="25">
        <f>IF(N$16="","",IF(N$16=('Model_Assumptions'!$B$8+1), N$17*$E$13,IF(N$16&lt;='Model_Assumptions'!$C$8,N$17*$C$13,IF(N$16&gt;=('Model_Assumptions'!$C$8 + 1), N$17*$D$13, ""))))</f>
        <v/>
      </c>
      <c r="O23" s="25">
        <f>IF(O$16="","",IF(O$16=('Model_Assumptions'!$B$8+1), O$17*$E$13,IF(O$16&lt;='Model_Assumptions'!$C$8,O$17*$C$13,IF(O$16&gt;=('Model_Assumptions'!$C$8 + 1), O$17*$D$13, ""))))</f>
        <v/>
      </c>
      <c r="P23" s="25">
        <f>IF(P$16="","",IF(P$16=('Model_Assumptions'!$B$8+1), P$17*$E$13,IF(P$16&lt;='Model_Assumptions'!$C$8,P$17*$C$13,IF(P$16&gt;=('Model_Assumptions'!$C$8 + 1), P$17*$D$13, ""))))</f>
        <v/>
      </c>
      <c r="Q23" s="25">
        <f>IF(Q$16="","",IF(Q$16=('Model_Assumptions'!$B$8+1), Q$17*$E$13,IF(Q$16&lt;='Model_Assumptions'!$C$8,Q$17*$C$13,IF(Q$16&gt;=('Model_Assumptions'!$C$8 + 1), Q$17*$D$13, ""))))</f>
        <v/>
      </c>
      <c r="R23" s="25">
        <f>IF(R$16="","",IF(R$16=('Model_Assumptions'!$B$8+1), R$17*$E$13,IF(R$16&lt;='Model_Assumptions'!$C$8,R$17*$C$13,IF(R$16&gt;=('Model_Assumptions'!$C$8 + 1), R$17*$D$13, ""))))</f>
        <v/>
      </c>
      <c r="S23" s="25">
        <f>IF(S$16="","",IF(S$16=('Model_Assumptions'!$B$8+1), S$17*$E$13,IF(S$16&lt;='Model_Assumptions'!$C$8,S$17*$C$13,IF(S$16&gt;=('Model_Assumptions'!$C$8 + 1), S$17*$D$13, ""))))</f>
        <v/>
      </c>
      <c r="T23" s="25">
        <f>IF(T$16="","",IF(T$16=('Model_Assumptions'!$B$8+1), T$17*$E$13,IF(T$16&lt;='Model_Assumptions'!$C$8,T$17*$C$13,IF(T$16&gt;=('Model_Assumptions'!$C$8 + 1), T$17*$D$13, ""))))</f>
        <v/>
      </c>
      <c r="U23" s="25">
        <f>IF(U$16="","",IF(U$16=('Model_Assumptions'!$B$8+1), U$17*$E$13,IF(U$16&lt;='Model_Assumptions'!$C$8,U$17*$C$13,IF(U$16&gt;=('Model_Assumptions'!$C$8 + 1), U$17*$D$13, ""))))</f>
        <v/>
      </c>
      <c r="V23" s="25">
        <f>IF(V$16="","",IF(V$16=('Model_Assumptions'!$B$8+1), V$17*$E$13,IF(V$16&lt;='Model_Assumptions'!$C$8,V$17*$C$13,IF(V$16&gt;=('Model_Assumptions'!$C$8 + 1), V$17*$D$13, ""))))</f>
        <v/>
      </c>
      <c r="W23" s="25">
        <f>IF(W$16="","",IF(W$16=('Model_Assumptions'!$B$8+1), W$17*$E$13,IF(W$16&lt;='Model_Assumptions'!$C$8,W$17*$C$13,IF(W$16&gt;=('Model_Assumptions'!$C$8 + 1), W$17*$D$13, ""))))</f>
        <v/>
      </c>
      <c r="X23" s="25">
        <f>IF(X$16="","",IF(X$16=('Model_Assumptions'!$B$8+1), X$17*$E$13,IF(X$16&lt;='Model_Assumptions'!$C$8,X$17*$C$13,IF(X$16&gt;=('Model_Assumptions'!$C$8 + 1), X$17*$D$13, ""))))</f>
        <v/>
      </c>
      <c r="Y23" s="25">
        <f>IF(Y$16="","",IF(Y$16=('Model_Assumptions'!$B$8+1), Y$17*$E$13,IF(Y$16&lt;='Model_Assumptions'!$C$8,Y$17*$C$13,IF(Y$16&gt;=('Model_Assumptions'!$C$8 + 1), Y$17*$D$13, ""))))</f>
        <v/>
      </c>
      <c r="Z23" s="25">
        <f>IF(Z$16="","",IF(Z$16=('Model_Assumptions'!$B$8+1), Z$17*$E$13,IF(Z$16&lt;='Model_Assumptions'!$C$8,Z$17*$C$13,IF(Z$16&gt;=('Model_Assumptions'!$C$8 + 1), Z$17*$D$13, ""))))</f>
        <v/>
      </c>
      <c r="AA23" s="25">
        <f>IF(AA$16="","",IF(AA$16=('Model_Assumptions'!$B$8+1), AA$17*$E$13,IF(AA$16&lt;='Model_Assumptions'!$C$8,AA$17*$C$13,IF(AA$16&gt;=('Model_Assumptions'!$C$8 + 1), AA$17*$D$13, ""))))</f>
        <v/>
      </c>
      <c r="AB23" s="25">
        <f>IF(AB$16="","",IF(AB$16=('Model_Assumptions'!$B$8+1), AB$17*$E$13,IF(AB$16&lt;='Model_Assumptions'!$C$8,AB$17*$C$13,IF(AB$16&gt;=('Model_Assumptions'!$C$8 + 1), AB$17*$D$13, ""))))</f>
        <v/>
      </c>
      <c r="AC23" s="25">
        <f>IF(AC$16="","",IF(AC$16=('Model_Assumptions'!$B$8+1), AC$17*$E$13,IF(AC$16&lt;='Model_Assumptions'!$C$8,AC$17*$C$13,IF(AC$16&gt;=('Model_Assumptions'!$C$8 + 1), AC$17*$D$13, ""))))</f>
        <v/>
      </c>
      <c r="AD23" s="25">
        <f>IF(AD$16="","",IF(AD$16=('Model_Assumptions'!$B$8+1), AD$17*$E$13,IF(AD$16&lt;='Model_Assumptions'!$C$8,AD$17*$C$13,IF(AD$16&gt;=('Model_Assumptions'!$C$8 + 1), AD$17*$D$13, ""))))</f>
        <v/>
      </c>
      <c r="AE23" s="25">
        <f>IF(AE$16="","",IF(AE$16=('Model_Assumptions'!$B$8+1), AE$17*$E$13,IF(AE$16&lt;='Model_Assumptions'!$C$8,AE$17*$C$13,IF(AE$16&gt;=('Model_Assumptions'!$C$8 + 1), AE$17*$D$13, ""))))</f>
        <v/>
      </c>
      <c r="AF23" s="25">
        <f>IF(AF$16="","",IF(AF$16=('Model_Assumptions'!$B$8+1), AF$17*$E$13,IF(AF$16&lt;='Model_Assumptions'!$C$8,AF$17*$C$13,IF(AF$16&gt;=('Model_Assumptions'!$C$8 + 1), AF$17*$D$13, ""))))</f>
        <v/>
      </c>
      <c r="AG23" s="25">
        <f>IF(AG$16="","",IF(AG$16=('Model_Assumptions'!$B$8+1), AG$17*$E$13,IF(AG$16&lt;='Model_Assumptions'!$C$8,AG$17*$C$13,IF(AG$16&gt;=('Model_Assumptions'!$C$8 + 1), AG$17*$D$13, ""))))</f>
        <v/>
      </c>
      <c r="AH23" s="25">
        <f>IF(AH$16="","",IF(AH$16=('Model_Assumptions'!$B$8+1), AH$17*$E$13,IF(AH$16&lt;='Model_Assumptions'!$C$8,AH$17*$C$13,IF(AH$16&gt;=('Model_Assumptions'!$C$8 + 1), AH$17*$D$13, ""))))</f>
        <v/>
      </c>
      <c r="AI23" s="25">
        <f>IF(AI$16="","",IF(AI$16=('Model_Assumptions'!$B$8+1), AI$17*$E$13,IF(AI$16&lt;='Model_Assumptions'!$C$8,AI$17*$C$13,IF(AI$16&gt;=('Model_Assumptions'!$C$8 + 1), AI$17*$D$13, ""))))</f>
        <v/>
      </c>
      <c r="AJ23" s="25">
        <f>IF(AJ$16="","",IF(AJ$16=('Model_Assumptions'!$B$8+1), AJ$17*$E$13,IF(AJ$16&lt;='Model_Assumptions'!$C$8,AJ$17*$C$13,IF(AJ$16&gt;=('Model_Assumptions'!$C$8 + 1), AJ$17*$D$13, ""))))</f>
        <v/>
      </c>
      <c r="AK23" s="25">
        <f>IF(AK$16="","",IF(AK$16=('Model_Assumptions'!$B$8+1), AK$17*$E$13,IF(AK$16&lt;='Model_Assumptions'!$C$8,AK$17*$C$13,IF(AK$16&gt;=('Model_Assumptions'!$C$8 + 1), AK$17*$D$13, ""))))</f>
        <v/>
      </c>
      <c r="AL23" s="25">
        <f>IF(AL$16="","",IF(AL$16=('Model_Assumptions'!$B$8+1), AL$17*$E$13,IF(AL$16&lt;='Model_Assumptions'!$C$8,AL$17*$C$13,IF(AL$16&gt;=('Model_Assumptions'!$C$8 + 1), AL$17*$D$13, ""))))</f>
        <v/>
      </c>
      <c r="AM23" s="25">
        <f>IF(AM$16="","",IF(AM$16=('Model_Assumptions'!$B$8+1), AM$17*$E$13,IF(AM$16&lt;='Model_Assumptions'!$C$8,AM$17*$C$13,IF(AM$16&gt;=('Model_Assumptions'!$C$8 + 1), AM$17*$D$13, ""))))</f>
        <v/>
      </c>
      <c r="AN23" s="25">
        <f>IF(AN$16="","",IF(AN$16=('Model_Assumptions'!$B$8+1), AN$17*$E$13,IF(AN$16&lt;='Model_Assumptions'!$C$8,AN$17*$C$13,IF(AN$16&gt;=('Model_Assumptions'!$C$8 + 1), AN$17*$D$13, ""))))</f>
        <v/>
      </c>
      <c r="AO23" s="25">
        <f>IF(AO$16="","",IF(AO$16=('Model_Assumptions'!$B$8+1), AO$17*$E$13,IF(AO$16&lt;='Model_Assumptions'!$C$8,AO$17*$C$13,IF(AO$16&gt;=('Model_Assumptions'!$C$8 + 1), AO$17*$D$13, ""))))</f>
        <v/>
      </c>
      <c r="AP23" s="25">
        <f>IF(AP$16="","",IF(AP$16=('Model_Assumptions'!$B$8+1), AP$17*$E$13,IF(AP$16&lt;='Model_Assumptions'!$C$8,AP$17*$C$13,IF(AP$16&gt;=('Model_Assumptions'!$C$8 + 1), AP$17*$D$13, ""))))</f>
        <v/>
      </c>
      <c r="AQ23" s="25">
        <f>IF(AQ$16="","",IF(AQ$16=('Model_Assumptions'!$B$8+1), AQ$17*$E$13,IF(AQ$16&lt;='Model_Assumptions'!$C$8,AQ$17*$C$13,IF(AQ$16&gt;=('Model_Assumptions'!$C$8 + 1), AQ$17*$D$13, ""))))</f>
        <v/>
      </c>
      <c r="AR23" s="25">
        <f>IF(AR$16="","",IF(AR$16=('Model_Assumptions'!$B$8+1), AR$17*$E$13,IF(AR$16&lt;='Model_Assumptions'!$C$8,AR$17*$C$13,IF(AR$16&gt;=('Model_Assumptions'!$C$8 + 1), AR$17*$D$13, ""))))</f>
        <v/>
      </c>
      <c r="AS23" s="25">
        <f>IF(AS$16="","",IF(AS$16=('Model_Assumptions'!$B$8+1), AS$17*$E$13,IF(AS$16&lt;='Model_Assumptions'!$C$8,AS$17*$C$13,IF(AS$16&gt;=('Model_Assumptions'!$C$8 + 1), AS$17*$D$13, ""))))</f>
        <v/>
      </c>
      <c r="AT23" s="25">
        <f>IF(AT$16="","",IF(AT$16=('Model_Assumptions'!$B$8+1), AT$17*$E$13,IF(AT$16&lt;='Model_Assumptions'!$C$8,AT$17*$C$13,IF(AT$16&gt;=('Model_Assumptions'!$C$8 + 1), AT$17*$D$13, ""))))</f>
        <v/>
      </c>
      <c r="AU23" s="25">
        <f>IF(AU$16="","",IF(AU$16=('Model_Assumptions'!$B$8+1), AU$17*$E$13,IF(AU$16&lt;='Model_Assumptions'!$C$8,AU$17*$C$13,IF(AU$16&gt;=('Model_Assumptions'!$C$8 + 1), AU$17*$D$13, ""))))</f>
        <v/>
      </c>
      <c r="AV23" s="25">
        <f>IF(AV$16="","",IF(AV$16=('Model_Assumptions'!$B$8+1), AV$17*$E$13,IF(AV$16&lt;='Model_Assumptions'!$C$8,AV$17*$C$13,IF(AV$16&gt;=('Model_Assumptions'!$C$8 + 1), AV$17*$D$13, ""))))</f>
        <v/>
      </c>
      <c r="AW23" s="25">
        <f>IF(AW$16="","",IF(AW$16=('Model_Assumptions'!$B$8+1), AW$17*$E$13,IF(AW$16&lt;='Model_Assumptions'!$C$8,AW$17*$C$13,IF(AW$16&gt;=('Model_Assumptions'!$C$8 + 1), AW$17*$D$13, ""))))</f>
        <v/>
      </c>
      <c r="AX23" s="25">
        <f>IF(AX$16="","",IF(AX$16=('Model_Assumptions'!$B$8+1), AX$17*$E$13,IF(AX$16&lt;='Model_Assumptions'!$C$8,AX$17*$C$13,IF(AX$16&gt;=('Model_Assumptions'!$C$8 + 1), AX$17*$D$13, ""))))</f>
        <v/>
      </c>
      <c r="AY23" s="25">
        <f>IF(AY$16="","",IF(AY$16=('Model_Assumptions'!$B$8+1), AY$17*$E$13,IF(AY$16&lt;='Model_Assumptions'!$C$8,AY$17*$C$13,IF(AY$16&gt;=('Model_Assumptions'!$C$8 + 1), AY$17*$D$13, ""))))</f>
        <v/>
      </c>
      <c r="AZ23" s="25">
        <f>IF(AZ$16="","",IF(AZ$16=('Model_Assumptions'!$B$8+1), AZ$17*$E$13,IF(AZ$16&lt;='Model_Assumptions'!$C$8,AZ$17*$C$13,IF(AZ$16&gt;=('Model_Assumptions'!$C$8 + 1), AZ$17*$D$13, ""))))</f>
        <v/>
      </c>
      <c r="BA23" s="25">
        <f>IF(BA$16="","",IF(BA$16=('Model_Assumptions'!$B$8+1), BA$17*$E$13,IF(BA$16&lt;='Model_Assumptions'!$C$8,BA$17*$C$13,IF(BA$16&gt;=('Model_Assumptions'!$C$8 + 1), BA$17*$D$13, ""))))</f>
        <v/>
      </c>
      <c r="BB23" s="25">
        <f>IF(BB$16="","",IF(BB$16=('Model_Assumptions'!$B$8+1), BB$17*$E$13,IF(BB$16&lt;='Model_Assumptions'!$C$8,BB$17*$C$13,IF(BB$16&gt;=('Model_Assumptions'!$C$8 + 1), BB$17*$D$13, ""))))</f>
        <v/>
      </c>
      <c r="BC23" s="25">
        <f>IF(BC$16="","",IF(BC$16=('Model_Assumptions'!$B$8+1), BC$17*$E$13,IF(BC$16&lt;='Model_Assumptions'!$C$8,BC$17*$C$13,IF(BC$16&gt;=('Model_Assumptions'!$C$8 + 1), BC$17*$D$13, ""))))</f>
        <v/>
      </c>
      <c r="BD23" s="25">
        <f>IF(BD$16="","",IF(BD$16=('Model_Assumptions'!$B$8+1), BD$17*$E$13,IF(BD$16&lt;='Model_Assumptions'!$C$8,BD$17*$C$13,IF(BD$16&gt;=('Model_Assumptions'!$C$8 + 1), BD$17*$D$13, ""))))</f>
        <v/>
      </c>
      <c r="BE23" s="25">
        <f>IF(BE$16="","",IF(BE$16=('Model_Assumptions'!$B$8+1), BE$17*$E$13,IF(BE$16&lt;='Model_Assumptions'!$C$8,BE$17*$C$13,IF(BE$16&gt;=('Model_Assumptions'!$C$8 + 1), BE$17*$D$13, ""))))</f>
        <v/>
      </c>
      <c r="BF23" s="25">
        <f>IF(BF$16="","",IF(BF$16=('Model_Assumptions'!$B$8+1), BF$17*$E$13,IF(BF$16&lt;='Model_Assumptions'!$C$8,BF$17*$C$13,IF(BF$16&gt;=('Model_Assumptions'!$C$8 + 1), BF$17*$D$13, ""))))</f>
        <v/>
      </c>
      <c r="BG23" s="25">
        <f>IF(BG$16="","",IF(BG$16=('Model_Assumptions'!$B$8+1), BG$17*$E$13,IF(BG$16&lt;='Model_Assumptions'!$C$8,BG$17*$C$13,IF(BG$16&gt;=('Model_Assumptions'!$C$8 + 1), BG$17*$D$13, ""))))</f>
        <v/>
      </c>
      <c r="BH23" s="25">
        <f>IF(BH$16="","",IF(BH$16=('Model_Assumptions'!$B$8+1), BH$17*$E$13,IF(BH$16&lt;='Model_Assumptions'!$C$8,BH$17*$C$13,IF(BH$16&gt;=('Model_Assumptions'!$C$8 + 1), BH$17*$D$13, ""))))</f>
        <v/>
      </c>
      <c r="BI23" s="25">
        <f>IF(BI$16="","",IF(BI$16=('Model_Assumptions'!$B$8+1), BI$17*$E$13,IF(BI$16&lt;='Model_Assumptions'!$C$8,BI$17*$C$13,IF(BI$16&gt;=('Model_Assumptions'!$C$8 + 1), BI$17*$D$13, ""))))</f>
        <v/>
      </c>
      <c r="BJ23" s="25">
        <f>IF(BJ$16="","",IF(BJ$16=('Model_Assumptions'!$B$8+1), BJ$17*$E$13,IF(BJ$16&lt;='Model_Assumptions'!$C$8,BJ$17*$C$13,IF(BJ$16&gt;=('Model_Assumptions'!$C$8 + 1), BJ$17*$D$13, ""))))</f>
        <v/>
      </c>
      <c r="BK23" s="25">
        <f>IF(BK$16="","",IF(BK$16=('Model_Assumptions'!$B$8+1), BK$17*$E$13,IF(BK$16&lt;='Model_Assumptions'!$C$8,BK$17*$C$13,IF(BK$16&gt;=('Model_Assumptions'!$C$8 + 1), BK$17*$D$13, ""))))</f>
        <v/>
      </c>
      <c r="BL23" s="25">
        <f>IF(BL$16="","",IF(BL$16=('Model_Assumptions'!$B$8+1), BL$17*$E$13,IF(BL$16&lt;='Model_Assumptions'!$C$8,BL$17*$C$13,IF(BL$16&gt;=('Model_Assumptions'!$C$8 + 1), BL$17*$D$13, ""))))</f>
        <v/>
      </c>
      <c r="BM23" s="25">
        <f>IF(BM$16="","",IF(BM$16=('Model_Assumptions'!$B$8+1), BM$17*$E$13,IF(BM$16&lt;='Model_Assumptions'!$C$8,BM$17*$C$13,IF(BM$16&gt;=('Model_Assumptions'!$C$8 + 1), BM$17*$D$13, ""))))</f>
        <v/>
      </c>
      <c r="BN23" s="25">
        <f>IF(BN$16="","",IF(BN$16=('Model_Assumptions'!$B$8+1), BN$17*$E$13,IF(BN$16&lt;='Model_Assumptions'!$C$8,BN$17*$C$13,IF(BN$16&gt;=('Model_Assumptions'!$C$8 + 1), BN$17*$D$13, ""))))</f>
        <v/>
      </c>
      <c r="BO23" s="25">
        <f>IF(BO$16="","",IF(BO$16=('Model_Assumptions'!$B$8+1), BO$17*$E$13,IF(BO$16&lt;='Model_Assumptions'!$C$8,BO$17*$C$13,IF(BO$16&gt;=('Model_Assumptions'!$C$8 + 1), BO$17*$D$13, ""))))</f>
        <v/>
      </c>
      <c r="BP23" s="25">
        <f>IF(BP$16="","",IF(BP$16=('Model_Assumptions'!$B$8+1), BP$17*$E$13,IF(BP$16&lt;='Model_Assumptions'!$C$8,BP$17*$C$13,IF(BP$16&gt;=('Model_Assumptions'!$C$8 + 1), BP$17*$D$13, ""))))</f>
        <v/>
      </c>
      <c r="BQ23" s="25">
        <f>IF(BQ$16="","",IF(BQ$16=('Model_Assumptions'!$B$8+1), BQ$17*$E$13,IF(BQ$16&lt;='Model_Assumptions'!$C$8,BQ$17*$C$13,IF(BQ$16&gt;=('Model_Assumptions'!$C$8 + 1), BQ$17*$D$13, ""))))</f>
        <v/>
      </c>
      <c r="BR23" s="25">
        <f>IF(BR$16="","",IF(BR$16=('Model_Assumptions'!$B$8+1), BR$17*$E$13,IF(BR$16&lt;='Model_Assumptions'!$C$8,BR$17*$C$13,IF(BR$16&gt;=('Model_Assumptions'!$C$8 + 1), BR$17*$D$13, ""))))</f>
        <v/>
      </c>
      <c r="BS23" s="25">
        <f>IF(BS$16="","",IF(BS$16=('Model_Assumptions'!$B$8+1), BS$17*$E$13,IF(BS$16&lt;='Model_Assumptions'!$C$8,BS$17*$C$13,IF(BS$16&gt;=('Model_Assumptions'!$C$8 + 1), BS$17*$D$13, ""))))</f>
        <v/>
      </c>
      <c r="BT23" s="25">
        <f>IF(BT$16="","",IF(BT$16=('Model_Assumptions'!$B$8+1), BT$17*$E$13,IF(BT$16&lt;='Model_Assumptions'!$C$8,BT$17*$C$13,IF(BT$16&gt;=('Model_Assumptions'!$C$8 + 1), BT$17*$D$13, ""))))</f>
        <v/>
      </c>
      <c r="BU23" s="25">
        <f>IF(BU$16="","",IF(BU$16=('Model_Assumptions'!$B$8+1), BU$17*$E$13,IF(BU$16&lt;='Model_Assumptions'!$C$8,BU$17*$C$13,IF(BU$16&gt;=('Model_Assumptions'!$C$8 + 1), BU$17*$D$13, ""))))</f>
        <v/>
      </c>
      <c r="BV23" s="25">
        <f>IF(BV$16="","",IF(BV$16=('Model_Assumptions'!$B$8+1), BV$17*$E$13,IF(BV$16&lt;='Model_Assumptions'!$C$8,BV$17*$C$13,IF(BV$16&gt;=('Model_Assumptions'!$C$8 + 1), BV$17*$D$13, ""))))</f>
        <v/>
      </c>
      <c r="BW23" s="25">
        <f>IF(BW$16="","",IF(BW$16=('Model_Assumptions'!$B$8+1), BW$17*$E$13,IF(BW$16&lt;='Model_Assumptions'!$C$8,BW$17*$C$13,IF(BW$16&gt;=('Model_Assumptions'!$C$8 + 1), BW$17*$D$13, ""))))</f>
        <v/>
      </c>
      <c r="BX23" s="25">
        <f>IF(BX$16="","",IF(BX$16=('Model_Assumptions'!$B$8+1), BX$17*$E$13,IF(BX$16&lt;='Model_Assumptions'!$C$8,BX$17*$C$13,IF(BX$16&gt;=('Model_Assumptions'!$C$8 + 1), BX$17*$D$13, ""))))</f>
        <v/>
      </c>
      <c r="BY23" s="25">
        <f>IF(BY$16="","",IF(BY$16=('Model_Assumptions'!$B$8+1), BY$17*$E$13,IF(BY$16&lt;='Model_Assumptions'!$C$8,BY$17*$C$13,IF(BY$16&gt;=('Model_Assumptions'!$C$8 + 1), BY$17*$D$13, ""))))</f>
        <v/>
      </c>
      <c r="BZ23" s="25">
        <f>IF(BZ$16="","",IF(BZ$16=('Model_Assumptions'!$B$8+1), BZ$17*$E$13,IF(BZ$16&lt;='Model_Assumptions'!$C$8,BZ$17*$C$13,IF(BZ$16&gt;=('Model_Assumptions'!$C$8 + 1), BZ$17*$D$13, ""))))</f>
        <v/>
      </c>
      <c r="CA23" s="25">
        <f>IF(CA$16="","",IF(CA$16=('Model_Assumptions'!$B$8+1), CA$17*$E$13,IF(CA$16&lt;='Model_Assumptions'!$C$8,CA$17*$C$13,IF(CA$16&gt;=('Model_Assumptions'!$C$8 + 1), CA$17*$D$13, ""))))</f>
        <v/>
      </c>
      <c r="CB23" s="25">
        <f>IF(CB$16="","",IF(CB$16=('Model_Assumptions'!$B$8+1), CB$17*$E$13,IF(CB$16&lt;='Model_Assumptions'!$C$8,CB$17*$C$13,IF(CB$16&gt;=('Model_Assumptions'!$C$8 + 1), CB$17*$D$13, ""))))</f>
        <v/>
      </c>
      <c r="CC23" s="25">
        <f>IF(CC$16="","",IF(CC$16=('Model_Assumptions'!$B$8+1), CC$17*$E$13,IF(CC$16&lt;='Model_Assumptions'!$C$8,CC$17*$C$13,IF(CC$16&gt;=('Model_Assumptions'!$C$8 + 1), CC$17*$D$13, ""))))</f>
        <v/>
      </c>
      <c r="CD23" s="25">
        <f>IF(CD$16="","",IF(CD$16=('Model_Assumptions'!$B$8+1), CD$17*$E$13,IF(CD$16&lt;='Model_Assumptions'!$C$8,CD$17*$C$13,IF(CD$16&gt;=('Model_Assumptions'!$C$8 + 1), CD$17*$D$13, ""))))</f>
        <v/>
      </c>
      <c r="CE23" s="25">
        <f>IF(CE$16="","",IF(CE$16=('Model_Assumptions'!$B$8+1), CE$17*$E$13,IF(CE$16&lt;='Model_Assumptions'!$C$8,CE$17*$C$13,IF(CE$16&gt;=('Model_Assumptions'!$C$8 + 1), CE$17*$D$13, ""))))</f>
        <v/>
      </c>
      <c r="CF23" s="25">
        <f>IF(CF$16="","",IF(CF$16=('Model_Assumptions'!$B$8+1), CF$17*$E$13,IF(CF$16&lt;='Model_Assumptions'!$C$8,CF$17*$C$13,IF(CF$16&gt;=('Model_Assumptions'!$C$8 + 1), CF$17*$D$13, ""))))</f>
        <v/>
      </c>
      <c r="CG23" s="25">
        <f>IF(CG$16="","",IF(CG$16=('Model_Assumptions'!$B$8+1), CG$17*$E$13,IF(CG$16&lt;='Model_Assumptions'!$C$8,CG$17*$C$13,IF(CG$16&gt;=('Model_Assumptions'!$C$8 + 1), CG$17*$D$13, ""))))</f>
        <v/>
      </c>
      <c r="CH23" s="25">
        <f>IF(CH$16="","",IF(CH$16=('Model_Assumptions'!$B$8+1), CH$17*$E$13,IF(CH$16&lt;='Model_Assumptions'!$C$8,CH$17*$C$13,IF(CH$16&gt;=('Model_Assumptions'!$C$8 + 1), CH$17*$D$13, ""))))</f>
        <v/>
      </c>
      <c r="CI23" s="25">
        <f>IF(CI$16="","",IF(CI$16=('Model_Assumptions'!$B$8+1), CI$17*$E$13,IF(CI$16&lt;='Model_Assumptions'!$C$8,CI$17*$C$13,IF(CI$16&gt;=('Model_Assumptions'!$C$8 + 1), CI$17*$D$13, ""))))</f>
        <v/>
      </c>
      <c r="CJ23" s="25">
        <f>IF(CJ$16="","",IF(CJ$16=('Model_Assumptions'!$B$8+1), CJ$17*$E$13,IF(CJ$16&lt;='Model_Assumptions'!$C$8,CJ$17*$C$13,IF(CJ$16&gt;=('Model_Assumptions'!$C$8 + 1), CJ$17*$D$13, ""))))</f>
        <v/>
      </c>
      <c r="CK23" s="25">
        <f>IF(CK$16="","",IF(CK$16=('Model_Assumptions'!$B$8+1), CK$17*$E$13,IF(CK$16&lt;='Model_Assumptions'!$C$8,CK$17*$C$13,IF(CK$16&gt;=('Model_Assumptions'!$C$8 + 1), CK$17*$D$13, ""))))</f>
        <v/>
      </c>
      <c r="CL23" s="25">
        <f>IF(CL$16="","",IF(CL$16=('Model_Assumptions'!$B$8+1), CL$17*$E$13,IF(CL$16&lt;='Model_Assumptions'!$C$8,CL$17*$C$13,IF(CL$16&gt;=('Model_Assumptions'!$C$8 + 1), CL$17*$D$13, ""))))</f>
        <v/>
      </c>
      <c r="CM23" s="26">
        <f>IF(CM$16="","",IF(CM$16=('Model_Assumptions'!$B$8+1), CM$17*$E$13,IF(CM$16&lt;='Model_Assumptions'!$C$8,CM$17*$C$13,IF(CM$16&gt;=('Model_Assumptions'!$C$8 + 1), CM$17*$D$13, ""))))</f>
        <v/>
      </c>
    </row>
    <row r="24">
      <c r="B24" s="27" t="inlineStr"/>
      <c r="C24" t="inlineStr"/>
      <c r="D24" t="inlineStr"/>
      <c r="E24" t="inlineStr"/>
      <c r="F24" t="inlineStr"/>
      <c r="G24" t="inlineStr"/>
      <c r="H24" t="inlineStr"/>
      <c r="I24" t="inlineStr"/>
      <c r="J24" t="inlineStr"/>
      <c r="K24" t="inlineStr"/>
      <c r="L24" t="inlineStr"/>
      <c r="M24" t="inlineStr"/>
      <c r="N24" t="inlineStr"/>
      <c r="O24" t="inlineStr"/>
      <c r="P24" t="inlineStr"/>
      <c r="Q24" t="inlineStr"/>
      <c r="R24" t="inlineStr"/>
      <c r="S24" t="inlineStr"/>
      <c r="T24" t="inlineStr"/>
      <c r="U24" t="inlineStr"/>
      <c r="V24" t="inlineStr"/>
      <c r="W24" t="inlineStr"/>
      <c r="X24" t="inlineStr"/>
      <c r="Y24" t="inlineStr"/>
      <c r="Z24" t="inlineStr"/>
      <c r="AA24" t="inlineStr"/>
      <c r="AB24" t="inlineStr"/>
      <c r="AC24" t="inlineStr"/>
      <c r="AD24" t="inlineStr"/>
      <c r="AE24" t="inlineStr"/>
      <c r="AF24" t="inlineStr"/>
      <c r="AG24" t="inlineStr"/>
      <c r="AH24" t="inlineStr"/>
      <c r="AI24" t="inlineStr"/>
      <c r="AJ24" t="inlineStr"/>
      <c r="AK24" t="inlineStr"/>
      <c r="AL24" t="inlineStr"/>
      <c r="AM24" t="inlineStr"/>
      <c r="AN24" t="inlineStr"/>
      <c r="AO24" t="inlineStr"/>
      <c r="AP24" t="inlineStr"/>
      <c r="AQ24" t="inlineStr"/>
      <c r="AR24" t="inlineStr"/>
      <c r="AS24" t="inlineStr"/>
      <c r="AT24" t="inlineStr"/>
      <c r="AU24" t="inlineStr"/>
      <c r="AV24" t="inlineStr"/>
      <c r="AW24" t="inlineStr"/>
      <c r="AX24" t="inlineStr"/>
      <c r="AY24" t="inlineStr"/>
      <c r="AZ24" t="inlineStr"/>
      <c r="BA24" t="inlineStr"/>
      <c r="BB24" t="inlineStr"/>
      <c r="BC24" t="inlineStr"/>
      <c r="BD24" t="inlineStr"/>
      <c r="BE24" t="inlineStr"/>
      <c r="BF24" t="inlineStr"/>
      <c r="BG24" t="inlineStr"/>
      <c r="BH24" t="inlineStr"/>
      <c r="BI24" t="inlineStr"/>
      <c r="BJ24" t="inlineStr"/>
      <c r="BK24" t="inlineStr"/>
      <c r="BL24" t="inlineStr"/>
      <c r="BM24" t="inlineStr"/>
      <c r="BN24" t="inlineStr"/>
      <c r="BO24" t="inlineStr"/>
      <c r="BP24" t="inlineStr"/>
      <c r="BQ24" t="inlineStr"/>
      <c r="BR24" t="inlineStr"/>
      <c r="BS24" t="inlineStr"/>
      <c r="BT24" t="inlineStr"/>
      <c r="BU24" t="inlineStr"/>
      <c r="BV24" t="inlineStr"/>
      <c r="BW24" t="inlineStr"/>
      <c r="BX24" t="inlineStr"/>
      <c r="BY24" t="inlineStr"/>
      <c r="BZ24" t="inlineStr"/>
      <c r="CA24" t="inlineStr"/>
      <c r="CB24" t="inlineStr"/>
      <c r="CC24" t="inlineStr"/>
      <c r="CD24" t="inlineStr"/>
      <c r="CE24" t="inlineStr"/>
      <c r="CF24" t="inlineStr"/>
      <c r="CG24" t="inlineStr"/>
      <c r="CH24" t="inlineStr"/>
      <c r="CI24" t="inlineStr"/>
      <c r="CJ24" t="inlineStr"/>
      <c r="CK24" t="inlineStr"/>
      <c r="CL24" t="inlineStr"/>
      <c r="CM24" t="inlineStr"/>
    </row>
    <row r="25">
      <c r="B25" s="15" t="inlineStr">
        <is>
          <t>Free Cash Flow (FCF)</t>
        </is>
      </c>
      <c r="C25" s="28" t="inlineStr"/>
      <c r="D25" s="29">
        <f>IF(D16="", "", D19+D21-D22-D23)</f>
        <v/>
      </c>
      <c r="E25" s="29">
        <f>IF(E16="", "", E19+E21-E22-E23)</f>
        <v/>
      </c>
      <c r="F25" s="29">
        <f>IF(F16="", "", F19+F21-F22-F23)</f>
        <v/>
      </c>
      <c r="G25" s="29">
        <f>IF(G16="", "", G19+G21-G22-G23)</f>
        <v/>
      </c>
      <c r="H25" s="29">
        <f>IF(H16="", "", H19+H21-H22-H23)</f>
        <v/>
      </c>
      <c r="I25" s="29">
        <f>IF(I16="", "", I19+I21-I22-I23)</f>
        <v/>
      </c>
      <c r="J25" s="29">
        <f>IF(J16="", "", J19+J21-J22-J23)</f>
        <v/>
      </c>
      <c r="K25" s="29">
        <f>IF(K16="", "", K19+K21-K22-K23)</f>
        <v/>
      </c>
      <c r="L25" s="29">
        <f>IF(L16="", "", L19+L21-L22-L23)</f>
        <v/>
      </c>
      <c r="M25" s="29">
        <f>IF(M16="", "", M19+M21-M22-M23)</f>
        <v/>
      </c>
      <c r="N25" s="29">
        <f>IF(N16="", "", N19+N21-N22-N23)</f>
        <v/>
      </c>
      <c r="O25" s="29">
        <f>IF(O16="", "", O19+O21-O22-O23)</f>
        <v/>
      </c>
      <c r="P25" s="29">
        <f>IF(P16="", "", P19+P21-P22-P23)</f>
        <v/>
      </c>
      <c r="Q25" s="29">
        <f>IF(Q16="", "", Q19+Q21-Q22-Q23)</f>
        <v/>
      </c>
      <c r="R25" s="29">
        <f>IF(R16="", "", R19+R21-R22-R23)</f>
        <v/>
      </c>
      <c r="S25" s="29">
        <f>IF(S16="", "", S19+S21-S22-S23)</f>
        <v/>
      </c>
      <c r="T25" s="29">
        <f>IF(T16="", "", T19+T21-T22-T23)</f>
        <v/>
      </c>
      <c r="U25" s="29">
        <f>IF(U16="", "", U19+U21-U22-U23)</f>
        <v/>
      </c>
      <c r="V25" s="29">
        <f>IF(V16="", "", V19+V21-V22-V23)</f>
        <v/>
      </c>
      <c r="W25" s="29">
        <f>IF(W16="", "", W19+W21-W22-W23)</f>
        <v/>
      </c>
      <c r="X25" s="29">
        <f>IF(X16="", "", X19+X21-X22-X23)</f>
        <v/>
      </c>
      <c r="Y25" s="29">
        <f>IF(Y16="", "", Y19+Y21-Y22-Y23)</f>
        <v/>
      </c>
      <c r="Z25" s="29">
        <f>IF(Z16="", "", Z19+Z21-Z22-Z23)</f>
        <v/>
      </c>
      <c r="AA25" s="29">
        <f>IF(AA16="", "", AA19+AA21-AA22-AA23)</f>
        <v/>
      </c>
      <c r="AB25" s="29">
        <f>IF(AB16="", "", AB19+AB21-AB22-AB23)</f>
        <v/>
      </c>
      <c r="AC25" s="29">
        <f>IF(AC16="", "", AC19+AC21-AC22-AC23)</f>
        <v/>
      </c>
      <c r="AD25" s="29">
        <f>IF(AD16="", "", AD19+AD21-AD22-AD23)</f>
        <v/>
      </c>
      <c r="AE25" s="29">
        <f>IF(AE16="", "", AE19+AE21-AE22-AE23)</f>
        <v/>
      </c>
      <c r="AF25" s="29">
        <f>IF(AF16="", "", AF19+AF21-AF22-AF23)</f>
        <v/>
      </c>
      <c r="AG25" s="29">
        <f>IF(AG16="", "", AG19+AG21-AG22-AG23)</f>
        <v/>
      </c>
      <c r="AH25" s="29">
        <f>IF(AH16="", "", AH19+AH21-AH22-AH23)</f>
        <v/>
      </c>
      <c r="AI25" s="29">
        <f>IF(AI16="", "", AI19+AI21-AI22-AI23)</f>
        <v/>
      </c>
      <c r="AJ25" s="29">
        <f>IF(AJ16="", "", AJ19+AJ21-AJ22-AJ23)</f>
        <v/>
      </c>
      <c r="AK25" s="29">
        <f>IF(AK16="", "", AK19+AK21-AK22-AK23)</f>
        <v/>
      </c>
      <c r="AL25" s="29">
        <f>IF(AL16="", "", AL19+AL21-AL22-AL23)</f>
        <v/>
      </c>
      <c r="AM25" s="29">
        <f>IF(AM16="", "", AM19+AM21-AM22-AM23)</f>
        <v/>
      </c>
      <c r="AN25" s="29">
        <f>IF(AN16="", "", AN19+AN21-AN22-AN23)</f>
        <v/>
      </c>
      <c r="AO25" s="29">
        <f>IF(AO16="", "", AO19+AO21-AO22-AO23)</f>
        <v/>
      </c>
      <c r="AP25" s="29">
        <f>IF(AP16="", "", AP19+AP21-AP22-AP23)</f>
        <v/>
      </c>
      <c r="AQ25" s="29">
        <f>IF(AQ16="", "", AQ19+AQ21-AQ22-AQ23)</f>
        <v/>
      </c>
      <c r="AR25" s="29">
        <f>IF(AR16="", "", AR19+AR21-AR22-AR23)</f>
        <v/>
      </c>
      <c r="AS25" s="29">
        <f>IF(AS16="", "", AS19+AS21-AS22-AS23)</f>
        <v/>
      </c>
      <c r="AT25" s="29">
        <f>IF(AT16="", "", AT19+AT21-AT22-AT23)</f>
        <v/>
      </c>
      <c r="AU25" s="29">
        <f>IF(AU16="", "", AU19+AU21-AU22-AU23)</f>
        <v/>
      </c>
      <c r="AV25" s="29">
        <f>IF(AV16="", "", AV19+AV21-AV22-AV23)</f>
        <v/>
      </c>
      <c r="AW25" s="29">
        <f>IF(AW16="", "", AW19+AW21-AW22-AW23)</f>
        <v/>
      </c>
      <c r="AX25" s="29">
        <f>IF(AX16="", "", AX19+AX21-AX22-AX23)</f>
        <v/>
      </c>
      <c r="AY25" s="29">
        <f>IF(AY16="", "", AY19+AY21-AY22-AY23)</f>
        <v/>
      </c>
      <c r="AZ25" s="29">
        <f>IF(AZ16="", "", AZ19+AZ21-AZ22-AZ23)</f>
        <v/>
      </c>
      <c r="BA25" s="29">
        <f>IF(BA16="", "", BA19+BA21-BA22-BA23)</f>
        <v/>
      </c>
      <c r="BB25" s="29">
        <f>IF(BB16="", "", BB19+BB21-BB22-BB23)</f>
        <v/>
      </c>
      <c r="BC25" s="29">
        <f>IF(BC16="", "", BC19+BC21-BC22-BC23)</f>
        <v/>
      </c>
      <c r="BD25" s="29">
        <f>IF(BD16="", "", BD19+BD21-BD22-BD23)</f>
        <v/>
      </c>
      <c r="BE25" s="29">
        <f>IF(BE16="", "", BE19+BE21-BE22-BE23)</f>
        <v/>
      </c>
      <c r="BF25" s="29">
        <f>IF(BF16="", "", BF19+BF21-BF22-BF23)</f>
        <v/>
      </c>
      <c r="BG25" s="29">
        <f>IF(BG16="", "", BG19+BG21-BG22-BG23)</f>
        <v/>
      </c>
      <c r="BH25" s="29">
        <f>IF(BH16="", "", BH19+BH21-BH22-BH23)</f>
        <v/>
      </c>
      <c r="BI25" s="29">
        <f>IF(BI16="", "", BI19+BI21-BI22-BI23)</f>
        <v/>
      </c>
      <c r="BJ25" s="29">
        <f>IF(BJ16="", "", BJ19+BJ21-BJ22-BJ23)</f>
        <v/>
      </c>
      <c r="BK25" s="29">
        <f>IF(BK16="", "", BK19+BK21-BK22-BK23)</f>
        <v/>
      </c>
      <c r="BL25" s="29">
        <f>IF(BL16="", "", BL19+BL21-BL22-BL23)</f>
        <v/>
      </c>
      <c r="BM25" s="29">
        <f>IF(BM16="", "", BM19+BM21-BM22-BM23)</f>
        <v/>
      </c>
      <c r="BN25" s="29">
        <f>IF(BN16="", "", BN19+BN21-BN22-BN23)</f>
        <v/>
      </c>
      <c r="BO25" s="29">
        <f>IF(BO16="", "", BO19+BO21-BO22-BO23)</f>
        <v/>
      </c>
      <c r="BP25" s="29">
        <f>IF(BP16="", "", BP19+BP21-BP22-BP23)</f>
        <v/>
      </c>
      <c r="BQ25" s="29">
        <f>IF(BQ16="", "", BQ19+BQ21-BQ22-BQ23)</f>
        <v/>
      </c>
      <c r="BR25" s="29">
        <f>IF(BR16="", "", BR19+BR21-BR22-BR23)</f>
        <v/>
      </c>
      <c r="BS25" s="29">
        <f>IF(BS16="", "", BS19+BS21-BS22-BS23)</f>
        <v/>
      </c>
      <c r="BT25" s="29">
        <f>IF(BT16="", "", BT19+BT21-BT22-BT23)</f>
        <v/>
      </c>
      <c r="BU25" s="29">
        <f>IF(BU16="", "", BU19+BU21-BU22-BU23)</f>
        <v/>
      </c>
      <c r="BV25" s="29">
        <f>IF(BV16="", "", BV19+BV21-BV22-BV23)</f>
        <v/>
      </c>
      <c r="BW25" s="29">
        <f>IF(BW16="", "", BW19+BW21-BW22-BW23)</f>
        <v/>
      </c>
      <c r="BX25" s="29">
        <f>IF(BX16="", "", BX19+BX21-BX22-BX23)</f>
        <v/>
      </c>
      <c r="BY25" s="29">
        <f>IF(BY16="", "", BY19+BY21-BY22-BY23)</f>
        <v/>
      </c>
      <c r="BZ25" s="29">
        <f>IF(BZ16="", "", BZ19+BZ21-BZ22-BZ23)</f>
        <v/>
      </c>
      <c r="CA25" s="29">
        <f>IF(CA16="", "", CA19+CA21-CA22-CA23)</f>
        <v/>
      </c>
      <c r="CB25" s="29">
        <f>IF(CB16="", "", CB19+CB21-CB22-CB23)</f>
        <v/>
      </c>
      <c r="CC25" s="29">
        <f>IF(CC16="", "", CC19+CC21-CC22-CC23)</f>
        <v/>
      </c>
      <c r="CD25" s="29">
        <f>IF(CD16="", "", CD19+CD21-CD22-CD23)</f>
        <v/>
      </c>
      <c r="CE25" s="29">
        <f>IF(CE16="", "", CE19+CE21-CE22-CE23)</f>
        <v/>
      </c>
      <c r="CF25" s="29">
        <f>IF(CF16="", "", CF19+CF21-CF22-CF23)</f>
        <v/>
      </c>
      <c r="CG25" s="29">
        <f>IF(CG16="", "", CG19+CG21-CG22-CG23)</f>
        <v/>
      </c>
      <c r="CH25" s="29">
        <f>IF(CH16="", "", CH19+CH21-CH22-CH23)</f>
        <v/>
      </c>
      <c r="CI25" s="29">
        <f>IF(CI16="", "", CI19+CI21-CI22-CI23)</f>
        <v/>
      </c>
      <c r="CJ25" s="29">
        <f>IF(CJ16="", "", CJ19+CJ21-CJ22-CJ23)</f>
        <v/>
      </c>
      <c r="CK25" s="29">
        <f>IF(CK16="", "", CK19+CK21-CK22-CK23)</f>
        <v/>
      </c>
      <c r="CL25" s="29">
        <f>IF(CL16="", "", CL19+CL21-CL22-CL23)</f>
        <v/>
      </c>
      <c r="CM25" s="30">
        <f>IF(CM16="", "", CM19+CM21-CM22-CM23)</f>
        <v/>
      </c>
    </row>
    <row r="26">
      <c r="B26" s="23" t="inlineStr">
        <is>
          <t>Present Value of FCF</t>
        </is>
      </c>
      <c r="C26" s="31" t="inlineStr"/>
      <c r="D26" s="32">
        <f>IF(OR(D16="", D$15=$E$7),"",PV($G$43,D$16,0,-D$25))</f>
        <v/>
      </c>
      <c r="E26" s="32">
        <f>IF(OR(E16="", E$15=$E$7),"",PV($G$43,E$16,0,-E$25))</f>
        <v/>
      </c>
      <c r="F26" s="32">
        <f>IF(OR(F16="", F$15=$E$7),"",PV($G$43,F$16,0,-F$25))</f>
        <v/>
      </c>
      <c r="G26" s="32">
        <f>IF(OR(G16="", G$15=$E$7),"",PV($G$43,G$16,0,-G$25))</f>
        <v/>
      </c>
      <c r="H26" s="32">
        <f>IF(OR(H16="", H$15=$E$7),"",PV($G$43,H$16,0,-H$25))</f>
        <v/>
      </c>
      <c r="I26" s="32">
        <f>IF(OR(I16="", I$15=$E$7),"",PV($G$43,I$16,0,-I$25))</f>
        <v/>
      </c>
      <c r="J26" s="32">
        <f>IF(OR(J16="", J$15=$E$7),"",PV($G$43,J$16,0,-J$25))</f>
        <v/>
      </c>
      <c r="K26" s="32">
        <f>IF(OR(K16="", K$15=$E$7),"",PV($G$43,K$16,0,-K$25))</f>
        <v/>
      </c>
      <c r="L26" s="32">
        <f>IF(OR(L16="", L$15=$E$7),"",PV($G$43,L$16,0,-L$25))</f>
        <v/>
      </c>
      <c r="M26" s="32">
        <f>IF(OR(M16="", M$15=$E$7),"",PV($G$43,M$16,0,-M$25))</f>
        <v/>
      </c>
      <c r="N26" s="32">
        <f>IF(OR(N16="", N$15=$E$7),"",PV($G$43,N$16,0,-N$25))</f>
        <v/>
      </c>
      <c r="O26" s="32">
        <f>IF(OR(O16="", O$15=$E$7),"",PV($G$43,O$16,0,-O$25))</f>
        <v/>
      </c>
      <c r="P26" s="32">
        <f>IF(OR(P16="", P$15=$E$7),"",PV($G$43,P$16,0,-P$25))</f>
        <v/>
      </c>
      <c r="Q26" s="32">
        <f>IF(OR(Q16="", Q$15=$E$7),"",PV($G$43,Q$16,0,-Q$25))</f>
        <v/>
      </c>
      <c r="R26" s="32">
        <f>IF(OR(R16="", R$15=$E$7),"",PV($G$43,R$16,0,-R$25))</f>
        <v/>
      </c>
      <c r="S26" s="32">
        <f>IF(OR(S16="", S$15=$E$7),"",PV($G$43,S$16,0,-S$25))</f>
        <v/>
      </c>
      <c r="T26" s="32">
        <f>IF(OR(T16="", T$15=$E$7),"",PV($G$43,T$16,0,-T$25))</f>
        <v/>
      </c>
      <c r="U26" s="32">
        <f>IF(OR(U16="", U$15=$E$7),"",PV($G$43,U$16,0,-U$25))</f>
        <v/>
      </c>
      <c r="V26" s="32">
        <f>IF(OR(V16="", V$15=$E$7),"",PV($G$43,V$16,0,-V$25))</f>
        <v/>
      </c>
      <c r="W26" s="32">
        <f>IF(OR(W16="", W$15=$E$7),"",PV($G$43,W$16,0,-W$25))</f>
        <v/>
      </c>
      <c r="X26" s="32">
        <f>IF(OR(X16="", X$15=$E$7),"",PV($G$43,X$16,0,-X$25))</f>
        <v/>
      </c>
      <c r="Y26" s="32">
        <f>IF(OR(Y16="", Y$15=$E$7),"",PV($G$43,Y$16,0,-Y$25))</f>
        <v/>
      </c>
      <c r="Z26" s="32">
        <f>IF(OR(Z16="", Z$15=$E$7),"",PV($G$43,Z$16,0,-Z$25))</f>
        <v/>
      </c>
      <c r="AA26" s="32">
        <f>IF(OR(AA16="", AA$15=$E$7),"",PV($G$43,AA$16,0,-AA$25))</f>
        <v/>
      </c>
      <c r="AB26" s="32">
        <f>IF(OR(AB16="", AB$15=$E$7),"",PV($G$43,AB$16,0,-AB$25))</f>
        <v/>
      </c>
      <c r="AC26" s="32">
        <f>IF(OR(AC16="", AC$15=$E$7),"",PV($G$43,AC$16,0,-AC$25))</f>
        <v/>
      </c>
      <c r="AD26" s="32">
        <f>IF(OR(AD16="", AD$15=$E$7),"",PV($G$43,AD$16,0,-AD$25))</f>
        <v/>
      </c>
      <c r="AE26" s="32">
        <f>IF(OR(AE16="", AE$15=$E$7),"",PV($G$43,AE$16,0,-AE$25))</f>
        <v/>
      </c>
      <c r="AF26" s="32">
        <f>IF(OR(AF16="", AF$15=$E$7),"",PV($G$43,AF$16,0,-AF$25))</f>
        <v/>
      </c>
      <c r="AG26" s="32">
        <f>IF(OR(AG16="", AG$15=$E$7),"",PV($G$43,AG$16,0,-AG$25))</f>
        <v/>
      </c>
      <c r="AH26" s="32">
        <f>IF(OR(AH16="", AH$15=$E$7),"",PV($G$43,AH$16,0,-AH$25))</f>
        <v/>
      </c>
      <c r="AI26" s="32">
        <f>IF(OR(AI16="", AI$15=$E$7),"",PV($G$43,AI$16,0,-AI$25))</f>
        <v/>
      </c>
      <c r="AJ26" s="32">
        <f>IF(OR(AJ16="", AJ$15=$E$7),"",PV($G$43,AJ$16,0,-AJ$25))</f>
        <v/>
      </c>
      <c r="AK26" s="32">
        <f>IF(OR(AK16="", AK$15=$E$7),"",PV($G$43,AK$16,0,-AK$25))</f>
        <v/>
      </c>
      <c r="AL26" s="32">
        <f>IF(OR(AL16="", AL$15=$E$7),"",PV($G$43,AL$16,0,-AL$25))</f>
        <v/>
      </c>
      <c r="AM26" s="32">
        <f>IF(OR(AM16="", AM$15=$E$7),"",PV($G$43,AM$16,0,-AM$25))</f>
        <v/>
      </c>
      <c r="AN26" s="32">
        <f>IF(OR(AN16="", AN$15=$E$7),"",PV($G$43,AN$16,0,-AN$25))</f>
        <v/>
      </c>
      <c r="AO26" s="32">
        <f>IF(OR(AO16="", AO$15=$E$7),"",PV($G$43,AO$16,0,-AO$25))</f>
        <v/>
      </c>
      <c r="AP26" s="32">
        <f>IF(OR(AP16="", AP$15=$E$7),"",PV($G$43,AP$16,0,-AP$25))</f>
        <v/>
      </c>
      <c r="AQ26" s="32">
        <f>IF(OR(AQ16="", AQ$15=$E$7),"",PV($G$43,AQ$16,0,-AQ$25))</f>
        <v/>
      </c>
      <c r="AR26" s="32">
        <f>IF(OR(AR16="", AR$15=$E$7),"",PV($G$43,AR$16,0,-AR$25))</f>
        <v/>
      </c>
      <c r="AS26" s="32">
        <f>IF(OR(AS16="", AS$15=$E$7),"",PV($G$43,AS$16,0,-AS$25))</f>
        <v/>
      </c>
      <c r="AT26" s="32">
        <f>IF(OR(AT16="", AT$15=$E$7),"",PV($G$43,AT$16,0,-AT$25))</f>
        <v/>
      </c>
      <c r="AU26" s="32">
        <f>IF(OR(AU16="", AU$15=$E$7),"",PV($G$43,AU$16,0,-AU$25))</f>
        <v/>
      </c>
      <c r="AV26" s="32">
        <f>IF(OR(AV16="", AV$15=$E$7),"",PV($G$43,AV$16,0,-AV$25))</f>
        <v/>
      </c>
      <c r="AW26" s="32">
        <f>IF(OR(AW16="", AW$15=$E$7),"",PV($G$43,AW$16,0,-AW$25))</f>
        <v/>
      </c>
      <c r="AX26" s="32">
        <f>IF(OR(AX16="", AX$15=$E$7),"",PV($G$43,AX$16,0,-AX$25))</f>
        <v/>
      </c>
      <c r="AY26" s="32">
        <f>IF(OR(AY16="", AY$15=$E$7),"",PV($G$43,AY$16,0,-AY$25))</f>
        <v/>
      </c>
      <c r="AZ26" s="32">
        <f>IF(OR(AZ16="", AZ$15=$E$7),"",PV($G$43,AZ$16,0,-AZ$25))</f>
        <v/>
      </c>
      <c r="BA26" s="32">
        <f>IF(OR(BA16="", BA$15=$E$7),"",PV($G$43,BA$16,0,-BA$25))</f>
        <v/>
      </c>
      <c r="BB26" s="32">
        <f>IF(OR(BB16="", BB$15=$E$7),"",PV($G$43,BB$16,0,-BB$25))</f>
        <v/>
      </c>
      <c r="BC26" s="32">
        <f>IF(OR(BC16="", BC$15=$E$7),"",PV($G$43,BC$16,0,-BC$25))</f>
        <v/>
      </c>
      <c r="BD26" s="32">
        <f>IF(OR(BD16="", BD$15=$E$7),"",PV($G$43,BD$16,0,-BD$25))</f>
        <v/>
      </c>
      <c r="BE26" s="32">
        <f>IF(OR(BE16="", BE$15=$E$7),"",PV($G$43,BE$16,0,-BE$25))</f>
        <v/>
      </c>
      <c r="BF26" s="32">
        <f>IF(OR(BF16="", BF$15=$E$7),"",PV($G$43,BF$16,0,-BF$25))</f>
        <v/>
      </c>
      <c r="BG26" s="32">
        <f>IF(OR(BG16="", BG$15=$E$7),"",PV($G$43,BG$16,0,-BG$25))</f>
        <v/>
      </c>
      <c r="BH26" s="32">
        <f>IF(OR(BH16="", BH$15=$E$7),"",PV($G$43,BH$16,0,-BH$25))</f>
        <v/>
      </c>
      <c r="BI26" s="32">
        <f>IF(OR(BI16="", BI$15=$E$7),"",PV($G$43,BI$16,0,-BI$25))</f>
        <v/>
      </c>
      <c r="BJ26" s="32">
        <f>IF(OR(BJ16="", BJ$15=$E$7),"",PV($G$43,BJ$16,0,-BJ$25))</f>
        <v/>
      </c>
      <c r="BK26" s="32">
        <f>IF(OR(BK16="", BK$15=$E$7),"",PV($G$43,BK$16,0,-BK$25))</f>
        <v/>
      </c>
      <c r="BL26" s="32">
        <f>IF(OR(BL16="", BL$15=$E$7),"",PV($G$43,BL$16,0,-BL$25))</f>
        <v/>
      </c>
      <c r="BM26" s="32">
        <f>IF(OR(BM16="", BM$15=$E$7),"",PV($G$43,BM$16,0,-BM$25))</f>
        <v/>
      </c>
      <c r="BN26" s="32">
        <f>IF(OR(BN16="", BN$15=$E$7),"",PV($G$43,BN$16,0,-BN$25))</f>
        <v/>
      </c>
      <c r="BO26" s="32">
        <f>IF(OR(BO16="", BO$15=$E$7),"",PV($G$43,BO$16,0,-BO$25))</f>
        <v/>
      </c>
      <c r="BP26" s="32">
        <f>IF(OR(BP16="", BP$15=$E$7),"",PV($G$43,BP$16,0,-BP$25))</f>
        <v/>
      </c>
      <c r="BQ26" s="32">
        <f>IF(OR(BQ16="", BQ$15=$E$7),"",PV($G$43,BQ$16,0,-BQ$25))</f>
        <v/>
      </c>
      <c r="BR26" s="32">
        <f>IF(OR(BR16="", BR$15=$E$7),"",PV($G$43,BR$16,0,-BR$25))</f>
        <v/>
      </c>
      <c r="BS26" s="32">
        <f>IF(OR(BS16="", BS$15=$E$7),"",PV($G$43,BS$16,0,-BS$25))</f>
        <v/>
      </c>
      <c r="BT26" s="32">
        <f>IF(OR(BT16="", BT$15=$E$7),"",PV($G$43,BT$16,0,-BT$25))</f>
        <v/>
      </c>
      <c r="BU26" s="32">
        <f>IF(OR(BU16="", BU$15=$E$7),"",PV($G$43,BU$16,0,-BU$25))</f>
        <v/>
      </c>
      <c r="BV26" s="32">
        <f>IF(OR(BV16="", BV$15=$E$7),"",PV($G$43,BV$16,0,-BV$25))</f>
        <v/>
      </c>
      <c r="BW26" s="32">
        <f>IF(OR(BW16="", BW$15=$E$7),"",PV($G$43,BW$16,0,-BW$25))</f>
        <v/>
      </c>
      <c r="BX26" s="32">
        <f>IF(OR(BX16="", BX$15=$E$7),"",PV($G$43,BX$16,0,-BX$25))</f>
        <v/>
      </c>
      <c r="BY26" s="32">
        <f>IF(OR(BY16="", BY$15=$E$7),"",PV($G$43,BY$16,0,-BY$25))</f>
        <v/>
      </c>
      <c r="BZ26" s="32">
        <f>IF(OR(BZ16="", BZ$15=$E$7),"",PV($G$43,BZ$16,0,-BZ$25))</f>
        <v/>
      </c>
      <c r="CA26" s="32">
        <f>IF(OR(CA16="", CA$15=$E$7),"",PV($G$43,CA$16,0,-CA$25))</f>
        <v/>
      </c>
      <c r="CB26" s="32">
        <f>IF(OR(CB16="", CB$15=$E$7),"",PV($G$43,CB$16,0,-CB$25))</f>
        <v/>
      </c>
      <c r="CC26" s="32">
        <f>IF(OR(CC16="", CC$15=$E$7),"",PV($G$43,CC$16,0,-CC$25))</f>
        <v/>
      </c>
      <c r="CD26" s="32">
        <f>IF(OR(CD16="", CD$15=$E$7),"",PV($G$43,CD$16,0,-CD$25))</f>
        <v/>
      </c>
      <c r="CE26" s="32">
        <f>IF(OR(CE16="", CE$15=$E$7),"",PV($G$43,CE$16,0,-CE$25))</f>
        <v/>
      </c>
      <c r="CF26" s="32">
        <f>IF(OR(CF16="", CF$15=$E$7),"",PV($G$43,CF$16,0,-CF$25))</f>
        <v/>
      </c>
      <c r="CG26" s="32">
        <f>IF(OR(CG16="", CG$15=$E$7),"",PV($G$43,CG$16,0,-CG$25))</f>
        <v/>
      </c>
      <c r="CH26" s="32">
        <f>IF(OR(CH16="", CH$15=$E$7),"",PV($G$43,CH$16,0,-CH$25))</f>
        <v/>
      </c>
      <c r="CI26" s="32">
        <f>IF(OR(CI16="", CI$15=$E$7),"",PV($G$43,CI$16,0,-CI$25))</f>
        <v/>
      </c>
      <c r="CJ26" s="32">
        <f>IF(OR(CJ16="", CJ$15=$E$7),"",PV($G$43,CJ$16,0,-CJ$25))</f>
        <v/>
      </c>
      <c r="CK26" s="32">
        <f>IF(OR(CK16="", CK$15=$E$7),"",PV($G$43,CK$16,0,-CK$25))</f>
        <v/>
      </c>
      <c r="CL26" s="32">
        <f>IF(OR(CL16="", CL$15=$E$7),"",PV($G$43,CL$16,0,-CL$25))</f>
        <v/>
      </c>
      <c r="CM26" s="33">
        <f>IF(OR(CM16="", CM$15=$E$7),"",PV($G$43,CM$16,0,-CM$25))</f>
        <v/>
      </c>
    </row>
    <row r="27">
      <c r="B27" t="inlineStr"/>
      <c r="C27" t="inlineStr"/>
      <c r="D27" t="inlineStr"/>
      <c r="E27" t="inlineStr"/>
      <c r="F27" t="inlineStr"/>
      <c r="G27" t="inlineStr"/>
      <c r="H27" t="inlineStr"/>
      <c r="I27" t="inlineStr"/>
      <c r="J27" t="inlineStr"/>
      <c r="K27" t="inlineStr"/>
      <c r="L27" t="inlineStr"/>
      <c r="M27" t="inlineStr"/>
      <c r="N27" t="inlineStr"/>
      <c r="O27" t="inlineStr"/>
      <c r="P27" t="inlineStr"/>
      <c r="Q27" t="inlineStr"/>
      <c r="R27" t="inlineStr"/>
      <c r="S27" t="inlineStr"/>
      <c r="T27" t="inlineStr"/>
      <c r="U27" t="inlineStr"/>
      <c r="V27" t="inlineStr"/>
      <c r="W27" t="inlineStr"/>
      <c r="X27" t="inlineStr"/>
      <c r="Y27" t="inlineStr"/>
      <c r="Z27" t="inlineStr"/>
      <c r="AA27" t="inlineStr"/>
      <c r="AB27" t="inlineStr"/>
      <c r="AC27" t="inlineStr"/>
      <c r="AD27" t="inlineStr"/>
      <c r="AE27" t="inlineStr"/>
      <c r="AF27" t="inlineStr"/>
      <c r="AG27" t="inlineStr"/>
      <c r="AH27" t="inlineStr"/>
      <c r="AI27" t="inlineStr"/>
      <c r="AJ27" t="inlineStr"/>
      <c r="AK27" t="inlineStr"/>
      <c r="AL27" t="inlineStr"/>
      <c r="AM27" t="inlineStr"/>
      <c r="AN27" t="inlineStr"/>
      <c r="AO27" t="inlineStr"/>
      <c r="AP27" t="inlineStr"/>
      <c r="AQ27" t="inlineStr"/>
      <c r="AR27" t="inlineStr"/>
      <c r="AS27" t="inlineStr"/>
      <c r="AT27" t="inlineStr"/>
      <c r="AU27" t="inlineStr"/>
      <c r="AV27" t="inlineStr"/>
      <c r="AW27" t="inlineStr"/>
      <c r="AX27" t="inlineStr"/>
      <c r="AY27" t="inlineStr"/>
      <c r="AZ27" t="inlineStr"/>
      <c r="BA27" t="inlineStr"/>
      <c r="BB27" t="inlineStr"/>
      <c r="BC27" t="inlineStr"/>
      <c r="BD27" t="inlineStr"/>
      <c r="BE27" t="inlineStr"/>
      <c r="BF27" t="inlineStr"/>
      <c r="BG27" t="inlineStr"/>
      <c r="BH27" t="inlineStr"/>
      <c r="BI27" t="inlineStr"/>
      <c r="BJ27" t="inlineStr"/>
      <c r="BK27" t="inlineStr"/>
      <c r="BL27" t="inlineStr"/>
      <c r="BM27" t="inlineStr"/>
      <c r="BN27" t="inlineStr"/>
      <c r="BO27" t="inlineStr"/>
      <c r="BP27" t="inlineStr"/>
      <c r="BQ27" t="inlineStr"/>
      <c r="BR27" t="inlineStr"/>
      <c r="BS27" t="inlineStr"/>
      <c r="BT27" t="inlineStr"/>
      <c r="BU27" t="inlineStr"/>
      <c r="BV27" t="inlineStr"/>
      <c r="BW27" t="inlineStr"/>
      <c r="BX27" t="inlineStr"/>
      <c r="BY27" t="inlineStr"/>
      <c r="BZ27" t="inlineStr"/>
      <c r="CA27" t="inlineStr"/>
      <c r="CB27" t="inlineStr"/>
      <c r="CC27" t="inlineStr"/>
      <c r="CD27" t="inlineStr"/>
      <c r="CE27" t="inlineStr"/>
      <c r="CF27" t="inlineStr"/>
      <c r="CG27" t="inlineStr"/>
      <c r="CH27" t="inlineStr"/>
      <c r="CI27" t="inlineStr"/>
      <c r="CJ27" t="inlineStr"/>
      <c r="CK27" t="inlineStr"/>
      <c r="CL27" t="inlineStr"/>
      <c r="CM27" t="inlineStr"/>
    </row>
    <row r="28">
      <c r="B28" t="inlineStr">
        <is>
          <t>DCF</t>
        </is>
      </c>
      <c r="C28" t="inlineStr"/>
      <c r="D28" t="inlineStr"/>
      <c r="E28" t="inlineStr"/>
      <c r="F28" t="inlineStr">
        <is>
          <t>WACC</t>
        </is>
      </c>
      <c r="G28" t="inlineStr"/>
      <c r="H28" t="inlineStr"/>
      <c r="I28" t="inlineStr"/>
      <c r="J28" t="inlineStr"/>
      <c r="K28" t="inlineStr"/>
      <c r="L28" t="inlineStr"/>
      <c r="M28" t="inlineStr"/>
      <c r="N28" t="inlineStr"/>
      <c r="O28" t="inlineStr"/>
      <c r="P28" t="inlineStr"/>
      <c r="Q28" t="inlineStr"/>
      <c r="R28" t="inlineStr"/>
      <c r="S28" t="inlineStr"/>
      <c r="T28" t="inlineStr"/>
      <c r="U28" t="inlineStr"/>
      <c r="V28" t="inlineStr"/>
      <c r="W28" t="inlineStr"/>
      <c r="X28" t="inlineStr"/>
      <c r="Y28" t="inlineStr"/>
      <c r="Z28" t="inlineStr"/>
      <c r="AA28" t="inlineStr"/>
      <c r="AB28" t="inlineStr"/>
      <c r="AC28" t="inlineStr"/>
      <c r="AD28" t="inlineStr"/>
      <c r="AE28" t="inlineStr"/>
      <c r="AF28" t="inlineStr"/>
      <c r="AG28" t="inlineStr"/>
      <c r="AH28" t="inlineStr"/>
      <c r="AI28" t="inlineStr"/>
      <c r="AJ28" t="inlineStr"/>
      <c r="AK28" t="inlineStr"/>
      <c r="AL28" t="inlineStr"/>
      <c r="AM28" t="inlineStr"/>
      <c r="AN28" t="inlineStr"/>
      <c r="AO28" t="inlineStr"/>
      <c r="AP28" t="inlineStr"/>
      <c r="AQ28" t="inlineStr"/>
      <c r="AR28" t="inlineStr"/>
      <c r="AS28" t="inlineStr"/>
      <c r="AT28" t="inlineStr"/>
      <c r="AU28" t="inlineStr"/>
      <c r="AV28" t="inlineStr"/>
      <c r="AW28" t="inlineStr"/>
      <c r="AX28" t="inlineStr"/>
      <c r="AY28" t="inlineStr"/>
      <c r="AZ28" t="inlineStr"/>
      <c r="BA28" t="inlineStr"/>
      <c r="BB28" t="inlineStr"/>
      <c r="BC28" t="inlineStr"/>
      <c r="BD28" t="inlineStr"/>
      <c r="BE28" t="inlineStr"/>
      <c r="BF28" t="inlineStr"/>
      <c r="BG28" t="inlineStr"/>
      <c r="BH28" t="inlineStr"/>
      <c r="BI28" t="inlineStr"/>
      <c r="BJ28" t="inlineStr"/>
      <c r="BK28" t="inlineStr"/>
      <c r="BL28" t="inlineStr"/>
      <c r="BM28" t="inlineStr"/>
      <c r="BN28" t="inlineStr"/>
      <c r="BO28" t="inlineStr"/>
      <c r="BP28" t="inlineStr"/>
      <c r="BQ28" t="inlineStr"/>
      <c r="BR28" t="inlineStr"/>
      <c r="BS28" t="inlineStr"/>
      <c r="BT28" t="inlineStr"/>
      <c r="BU28" t="inlineStr"/>
      <c r="BV28" t="inlineStr"/>
      <c r="BW28" t="inlineStr"/>
      <c r="BX28" t="inlineStr"/>
      <c r="BY28" t="inlineStr"/>
      <c r="BZ28" t="inlineStr"/>
      <c r="CA28" t="inlineStr"/>
      <c r="CB28" t="inlineStr"/>
      <c r="CC28" t="inlineStr"/>
      <c r="CD28" t="inlineStr"/>
      <c r="CE28" t="inlineStr"/>
      <c r="CF28" t="inlineStr"/>
      <c r="CG28" t="inlineStr"/>
      <c r="CH28" t="inlineStr"/>
      <c r="CI28" t="inlineStr"/>
      <c r="CJ28" t="inlineStr"/>
      <c r="CK28" t="inlineStr"/>
      <c r="CL28" t="inlineStr"/>
      <c r="CM28" t="inlineStr"/>
    </row>
    <row r="29">
      <c r="B29" s="15" t="inlineStr">
        <is>
          <t>Net Present Value of FCF</t>
        </is>
      </c>
      <c r="C29" s="34">
        <f>SUM(OFFSET(D26,0,0,1,('Model_Assumptions'!B8)))</f>
        <v/>
      </c>
      <c r="D29" t="inlineStr"/>
      <c r="E29" t="inlineStr"/>
      <c r="F29" s="15" t="inlineStr">
        <is>
          <t>Total Debt</t>
        </is>
      </c>
      <c r="G29" s="34" t="n">
        <v>98657000000</v>
      </c>
      <c r="H29" t="inlineStr"/>
      <c r="I29" t="inlineStr"/>
      <c r="J29" t="inlineStr"/>
      <c r="K29" t="inlineStr"/>
      <c r="L29" t="inlineStr"/>
      <c r="M29" t="inlineStr"/>
      <c r="N29" t="inlineStr"/>
      <c r="O29" t="inlineStr"/>
      <c r="P29" t="inlineStr"/>
      <c r="Q29" t="inlineStr"/>
      <c r="R29" t="inlineStr"/>
      <c r="S29" t="inlineStr"/>
      <c r="T29" t="inlineStr"/>
      <c r="U29" t="inlineStr"/>
      <c r="V29" t="inlineStr"/>
      <c r="W29" t="inlineStr"/>
      <c r="X29" t="inlineStr"/>
      <c r="Y29" t="inlineStr"/>
      <c r="Z29" t="inlineStr"/>
      <c r="AA29" t="inlineStr"/>
      <c r="AB29" t="inlineStr"/>
      <c r="AC29" t="inlineStr"/>
      <c r="AD29" t="inlineStr"/>
      <c r="AE29" t="inlineStr"/>
      <c r="AF29" t="inlineStr"/>
      <c r="AG29" t="inlineStr"/>
      <c r="AH29" t="inlineStr"/>
      <c r="AI29" t="inlineStr"/>
      <c r="AJ29" t="inlineStr"/>
      <c r="AK29" t="inlineStr"/>
      <c r="AL29" t="inlineStr"/>
      <c r="AM29" t="inlineStr"/>
      <c r="AN29" t="inlineStr"/>
      <c r="AO29" t="inlineStr"/>
      <c r="AP29" t="inlineStr"/>
      <c r="AQ29" t="inlineStr"/>
      <c r="AR29" t="inlineStr"/>
      <c r="AS29" t="inlineStr"/>
      <c r="AT29" t="inlineStr"/>
      <c r="AU29" t="inlineStr"/>
      <c r="AV29" t="inlineStr"/>
      <c r="AW29" t="inlineStr"/>
      <c r="AX29" t="inlineStr"/>
      <c r="AY29" t="inlineStr"/>
      <c r="AZ29" t="inlineStr"/>
      <c r="BA29" t="inlineStr"/>
      <c r="BB29" t="inlineStr"/>
      <c r="BC29" t="inlineStr"/>
      <c r="BD29" t="inlineStr"/>
      <c r="BE29" t="inlineStr"/>
      <c r="BF29" t="inlineStr"/>
      <c r="BG29" t="inlineStr"/>
      <c r="BH29" t="inlineStr"/>
      <c r="BI29" t="inlineStr"/>
      <c r="BJ29" t="inlineStr"/>
      <c r="BK29" t="inlineStr"/>
      <c r="BL29" t="inlineStr"/>
      <c r="BM29" t="inlineStr"/>
      <c r="BN29" t="inlineStr"/>
      <c r="BO29" t="inlineStr"/>
      <c r="BP29" t="inlineStr"/>
      <c r="BQ29" t="inlineStr"/>
      <c r="BR29" t="inlineStr"/>
      <c r="BS29" t="inlineStr"/>
      <c r="BT29" t="inlineStr"/>
      <c r="BU29" t="inlineStr"/>
      <c r="BV29" t="inlineStr"/>
      <c r="BW29" t="inlineStr"/>
      <c r="BX29" t="inlineStr"/>
      <c r="BY29" t="inlineStr"/>
      <c r="BZ29" t="inlineStr"/>
      <c r="CA29" t="inlineStr"/>
      <c r="CB29" t="inlineStr"/>
      <c r="CC29" t="inlineStr"/>
      <c r="CD29" t="inlineStr"/>
      <c r="CE29" t="inlineStr"/>
      <c r="CF29" t="inlineStr"/>
      <c r="CG29" t="inlineStr"/>
      <c r="CH29" t="inlineStr"/>
      <c r="CI29" t="inlineStr"/>
      <c r="CJ29" t="inlineStr"/>
      <c r="CK29" t="inlineStr"/>
      <c r="CL29" t="inlineStr"/>
      <c r="CM29" t="inlineStr"/>
    </row>
    <row r="30">
      <c r="B30" s="19" t="inlineStr">
        <is>
          <t xml:space="preserve">Terminal Value </t>
        </is>
      </c>
      <c r="C30" s="35">
        <f>INDEX(B15:BI25,11,'Model_Assumptions'!B8+3)/($G$43-'Model_Assumptions'!$E$8)</f>
        <v/>
      </c>
      <c r="D30" t="inlineStr"/>
      <c r="E30" t="inlineStr"/>
      <c r="F30" s="19" t="inlineStr">
        <is>
          <t>Current Share Price</t>
        </is>
      </c>
      <c r="G30" s="36" t="n">
        <v>250.12</v>
      </c>
      <c r="H30" t="inlineStr"/>
      <c r="I30" t="inlineStr"/>
      <c r="J30" t="inlineStr"/>
      <c r="K30" t="inlineStr"/>
      <c r="L30" t="inlineStr"/>
      <c r="M30" t="inlineStr"/>
      <c r="N30" t="inlineStr"/>
      <c r="O30" t="inlineStr"/>
      <c r="P30" t="inlineStr"/>
      <c r="Q30" t="inlineStr"/>
      <c r="R30" t="inlineStr"/>
      <c r="S30" t="inlineStr"/>
      <c r="T30" t="inlineStr"/>
      <c r="U30" t="inlineStr"/>
      <c r="V30" t="inlineStr"/>
      <c r="W30" t="inlineStr"/>
      <c r="X30" t="inlineStr"/>
      <c r="Y30" t="inlineStr"/>
      <c r="Z30" t="inlineStr"/>
      <c r="AA30" t="inlineStr"/>
      <c r="AB30" t="inlineStr"/>
      <c r="AC30" t="inlineStr"/>
      <c r="AD30" t="inlineStr"/>
      <c r="AE30" t="inlineStr"/>
      <c r="AF30" t="inlineStr"/>
      <c r="AG30" t="inlineStr"/>
      <c r="AH30" t="inlineStr"/>
      <c r="AI30" t="inlineStr"/>
      <c r="AJ30" t="inlineStr"/>
      <c r="AK30" t="inlineStr"/>
      <c r="AL30" t="inlineStr"/>
      <c r="AM30" t="inlineStr"/>
      <c r="AN30" t="inlineStr"/>
      <c r="AO30" t="inlineStr"/>
      <c r="AP30" t="inlineStr"/>
      <c r="AQ30" t="inlineStr"/>
      <c r="AR30" t="inlineStr"/>
      <c r="AS30" t="inlineStr"/>
      <c r="AT30" t="inlineStr"/>
      <c r="AU30" t="inlineStr"/>
      <c r="AV30" t="inlineStr"/>
      <c r="AW30" t="inlineStr"/>
      <c r="AX30" t="inlineStr"/>
      <c r="AY30" t="inlineStr"/>
      <c r="AZ30" t="inlineStr"/>
      <c r="BA30" t="inlineStr"/>
      <c r="BB30" t="inlineStr"/>
      <c r="BC30" t="inlineStr"/>
      <c r="BD30" t="inlineStr"/>
      <c r="BE30" t="inlineStr"/>
      <c r="BF30" t="inlineStr"/>
      <c r="BG30" t="inlineStr"/>
      <c r="BH30" t="inlineStr"/>
      <c r="BI30" t="inlineStr"/>
      <c r="BJ30" t="inlineStr"/>
      <c r="BK30" t="inlineStr"/>
      <c r="BL30" t="inlineStr"/>
      <c r="BM30" t="inlineStr"/>
      <c r="BN30" t="inlineStr"/>
      <c r="BO30" t="inlineStr"/>
      <c r="BP30" t="inlineStr"/>
      <c r="BQ30" t="inlineStr"/>
      <c r="BR30" t="inlineStr"/>
      <c r="BS30" t="inlineStr"/>
      <c r="BT30" t="inlineStr"/>
      <c r="BU30" t="inlineStr"/>
      <c r="BV30" t="inlineStr"/>
      <c r="BW30" t="inlineStr"/>
      <c r="BX30" t="inlineStr"/>
      <c r="BY30" t="inlineStr"/>
      <c r="BZ30" t="inlineStr"/>
      <c r="CA30" t="inlineStr"/>
      <c r="CB30" t="inlineStr"/>
      <c r="CC30" t="inlineStr"/>
      <c r="CD30" t="inlineStr"/>
      <c r="CE30" t="inlineStr"/>
      <c r="CF30" t="inlineStr"/>
      <c r="CG30" t="inlineStr"/>
      <c r="CH30" t="inlineStr"/>
      <c r="CI30" t="inlineStr"/>
      <c r="CJ30" t="inlineStr"/>
      <c r="CK30" t="inlineStr"/>
      <c r="CL30" t="inlineStr"/>
      <c r="CM30" t="inlineStr"/>
    </row>
    <row r="31">
      <c r="B31" s="19" t="inlineStr">
        <is>
          <t>Present Value of Terminal Value</t>
        </is>
      </c>
      <c r="C31" s="37">
        <f>PV(H43, 'Model_Assumptions'!$B$8+1, 0, -$C$30)</f>
        <v/>
      </c>
      <c r="D31" t="inlineStr"/>
      <c r="E31" t="inlineStr"/>
      <c r="F31" s="19" t="inlineStr">
        <is>
          <t>Weighted Average Shares Outstanding</t>
        </is>
      </c>
      <c r="G31" s="37" t="n">
        <v>15004697000</v>
      </c>
      <c r="H31" t="inlineStr"/>
      <c r="I31" t="inlineStr"/>
      <c r="J31" t="inlineStr"/>
      <c r="K31" t="inlineStr"/>
      <c r="L31" t="inlineStr"/>
      <c r="M31" t="inlineStr"/>
      <c r="N31" t="inlineStr"/>
      <c r="O31" t="inlineStr"/>
      <c r="P31" t="inlineStr"/>
      <c r="Q31" t="inlineStr"/>
      <c r="R31" t="inlineStr"/>
      <c r="S31" t="inlineStr"/>
      <c r="T31" t="inlineStr"/>
      <c r="U31" t="inlineStr"/>
      <c r="V31" t="inlineStr"/>
      <c r="W31" t="inlineStr"/>
      <c r="X31" t="inlineStr"/>
      <c r="Y31" t="inlineStr"/>
      <c r="Z31" t="inlineStr"/>
      <c r="AA31" t="inlineStr"/>
      <c r="AB31" t="inlineStr"/>
      <c r="AC31" t="inlineStr"/>
      <c r="AD31" t="inlineStr"/>
      <c r="AE31" t="inlineStr"/>
      <c r="AF31" t="inlineStr"/>
      <c r="AG31" t="inlineStr"/>
      <c r="AH31" t="inlineStr"/>
      <c r="AI31" t="inlineStr"/>
      <c r="AJ31" t="inlineStr"/>
      <c r="AK31" t="inlineStr"/>
      <c r="AL31" t="inlineStr"/>
      <c r="AM31" t="inlineStr"/>
      <c r="AN31" t="inlineStr"/>
      <c r="AO31" t="inlineStr"/>
      <c r="AP31" t="inlineStr"/>
      <c r="AQ31" t="inlineStr"/>
      <c r="AR31" t="inlineStr"/>
      <c r="AS31" t="inlineStr"/>
      <c r="AT31" t="inlineStr"/>
      <c r="AU31" t="inlineStr"/>
      <c r="AV31" t="inlineStr"/>
      <c r="AW31" t="inlineStr"/>
      <c r="AX31" t="inlineStr"/>
      <c r="AY31" t="inlineStr"/>
      <c r="AZ31" t="inlineStr"/>
      <c r="BA31" t="inlineStr"/>
      <c r="BB31" t="inlineStr"/>
      <c r="BC31" t="inlineStr"/>
      <c r="BD31" t="inlineStr"/>
      <c r="BE31" t="inlineStr"/>
      <c r="BF31" t="inlineStr"/>
      <c r="BG31" t="inlineStr"/>
      <c r="BH31" t="inlineStr"/>
      <c r="BI31" t="inlineStr"/>
      <c r="BJ31" t="inlineStr"/>
      <c r="BK31" t="inlineStr"/>
      <c r="BL31" t="inlineStr"/>
      <c r="BM31" t="inlineStr"/>
      <c r="BN31" t="inlineStr"/>
      <c r="BO31" t="inlineStr"/>
      <c r="BP31" t="inlineStr"/>
      <c r="BQ31" t="inlineStr"/>
      <c r="BR31" t="inlineStr"/>
      <c r="BS31" t="inlineStr"/>
      <c r="BT31" t="inlineStr"/>
      <c r="BU31" t="inlineStr"/>
      <c r="BV31" t="inlineStr"/>
      <c r="BW31" t="inlineStr"/>
      <c r="BX31" t="inlineStr"/>
      <c r="BY31" t="inlineStr"/>
      <c r="BZ31" t="inlineStr"/>
      <c r="CA31" t="inlineStr"/>
      <c r="CB31" t="inlineStr"/>
      <c r="CC31" t="inlineStr"/>
      <c r="CD31" t="inlineStr"/>
      <c r="CE31" t="inlineStr"/>
      <c r="CF31" t="inlineStr"/>
      <c r="CG31" t="inlineStr"/>
      <c r="CH31" t="inlineStr"/>
      <c r="CI31" t="inlineStr"/>
      <c r="CJ31" t="inlineStr"/>
      <c r="CK31" t="inlineStr"/>
      <c r="CL31" t="inlineStr"/>
      <c r="CM31" t="inlineStr"/>
    </row>
    <row r="32">
      <c r="B32" s="23" t="inlineStr">
        <is>
          <t>Enterprise Value</t>
        </is>
      </c>
      <c r="C32" s="38">
        <f>$C$31 + $C$29</f>
        <v/>
      </c>
      <c r="D32" t="inlineStr"/>
      <c r="E32" t="inlineStr"/>
      <c r="F32" s="19" t="inlineStr">
        <is>
          <t>Market Value of Equity</t>
        </is>
      </c>
      <c r="G32" s="35">
        <f>$G$30*$G$31</f>
        <v/>
      </c>
      <c r="H32" t="inlineStr"/>
      <c r="I32" t="inlineStr"/>
      <c r="J32" t="inlineStr"/>
      <c r="K32" t="inlineStr"/>
      <c r="L32" t="inlineStr"/>
      <c r="M32" t="inlineStr"/>
      <c r="N32" t="inlineStr"/>
      <c r="O32" t="inlineStr"/>
      <c r="P32" t="inlineStr"/>
      <c r="Q32" t="inlineStr"/>
      <c r="R32" t="inlineStr"/>
      <c r="S32" t="inlineStr"/>
      <c r="T32" t="inlineStr"/>
      <c r="U32" t="inlineStr"/>
      <c r="V32" t="inlineStr"/>
      <c r="W32" t="inlineStr"/>
      <c r="X32" t="inlineStr"/>
      <c r="Y32" t="inlineStr"/>
      <c r="Z32" t="inlineStr"/>
      <c r="AA32" t="inlineStr"/>
      <c r="AB32" t="inlineStr"/>
      <c r="AC32" t="inlineStr"/>
      <c r="AD32" t="inlineStr"/>
      <c r="AE32" t="inlineStr"/>
      <c r="AF32" t="inlineStr"/>
      <c r="AG32" t="inlineStr"/>
      <c r="AH32" t="inlineStr"/>
      <c r="AI32" t="inlineStr"/>
      <c r="AJ32" t="inlineStr"/>
      <c r="AK32" t="inlineStr"/>
      <c r="AL32" t="inlineStr"/>
      <c r="AM32" t="inlineStr"/>
      <c r="AN32" t="inlineStr"/>
      <c r="AO32" t="inlineStr"/>
      <c r="AP32" t="inlineStr"/>
      <c r="AQ32" t="inlineStr"/>
      <c r="AR32" t="inlineStr"/>
      <c r="AS32" t="inlineStr"/>
      <c r="AT32" t="inlineStr"/>
      <c r="AU32" t="inlineStr"/>
      <c r="AV32" t="inlineStr"/>
      <c r="AW32" t="inlineStr"/>
      <c r="AX32" t="inlineStr"/>
      <c r="AY32" t="inlineStr"/>
      <c r="AZ32" t="inlineStr"/>
      <c r="BA32" t="inlineStr"/>
      <c r="BB32" t="inlineStr"/>
      <c r="BC32" t="inlineStr"/>
      <c r="BD32" t="inlineStr"/>
      <c r="BE32" t="inlineStr"/>
      <c r="BF32" t="inlineStr"/>
      <c r="BG32" t="inlineStr"/>
      <c r="BH32" t="inlineStr"/>
      <c r="BI32" t="inlineStr"/>
      <c r="BJ32" t="inlineStr"/>
      <c r="BK32" t="inlineStr"/>
      <c r="BL32" t="inlineStr"/>
      <c r="BM32" t="inlineStr"/>
      <c r="BN32" t="inlineStr"/>
      <c r="BO32" t="inlineStr"/>
      <c r="BP32" t="inlineStr"/>
      <c r="BQ32" t="inlineStr"/>
      <c r="BR32" t="inlineStr"/>
      <c r="BS32" t="inlineStr"/>
      <c r="BT32" t="inlineStr"/>
      <c r="BU32" t="inlineStr"/>
      <c r="BV32" t="inlineStr"/>
      <c r="BW32" t="inlineStr"/>
      <c r="BX32" t="inlineStr"/>
      <c r="BY32" t="inlineStr"/>
      <c r="BZ32" t="inlineStr"/>
      <c r="CA32" t="inlineStr"/>
      <c r="CB32" t="inlineStr"/>
      <c r="CC32" t="inlineStr"/>
      <c r="CD32" t="inlineStr"/>
      <c r="CE32" t="inlineStr"/>
      <c r="CF32" t="inlineStr"/>
      <c r="CG32" t="inlineStr"/>
      <c r="CH32" t="inlineStr"/>
      <c r="CI32" t="inlineStr"/>
      <c r="CJ32" t="inlineStr"/>
      <c r="CK32" t="inlineStr"/>
      <c r="CL32" t="inlineStr"/>
      <c r="CM32" t="inlineStr"/>
    </row>
    <row r="33">
      <c r="B33" s="39" t="inlineStr"/>
      <c r="C33" s="40" t="inlineStr"/>
      <c r="D33" t="inlineStr"/>
      <c r="E33" t="inlineStr"/>
      <c r="F33" s="19" t="inlineStr">
        <is>
          <t>Weight of Equity</t>
        </is>
      </c>
      <c r="G33" s="41">
        <f>$G$32/($G$29+$G$32)</f>
        <v/>
      </c>
      <c r="H33" t="inlineStr"/>
      <c r="I33" t="inlineStr"/>
      <c r="J33" t="inlineStr"/>
      <c r="K33" t="inlineStr"/>
      <c r="L33" t="inlineStr"/>
      <c r="M33" t="inlineStr"/>
      <c r="N33" t="inlineStr"/>
      <c r="O33" t="inlineStr"/>
      <c r="P33" t="inlineStr"/>
      <c r="Q33" t="inlineStr"/>
      <c r="R33" t="inlineStr"/>
      <c r="S33" t="inlineStr"/>
      <c r="T33" t="inlineStr"/>
      <c r="U33" t="inlineStr"/>
      <c r="V33" t="inlineStr"/>
      <c r="W33" t="inlineStr"/>
      <c r="X33" t="inlineStr"/>
      <c r="Y33" t="inlineStr"/>
      <c r="Z33" t="inlineStr"/>
      <c r="AA33" t="inlineStr"/>
      <c r="AB33" t="inlineStr"/>
      <c r="AC33" t="inlineStr"/>
      <c r="AD33" t="inlineStr"/>
      <c r="AE33" t="inlineStr"/>
      <c r="AF33" t="inlineStr"/>
      <c r="AG33" t="inlineStr"/>
      <c r="AH33" t="inlineStr"/>
      <c r="AI33" t="inlineStr"/>
      <c r="AJ33" t="inlineStr"/>
      <c r="AK33" t="inlineStr"/>
      <c r="AL33" t="inlineStr"/>
      <c r="AM33" t="inlineStr"/>
      <c r="AN33" t="inlineStr"/>
      <c r="AO33" t="inlineStr"/>
      <c r="AP33" t="inlineStr"/>
      <c r="AQ33" t="inlineStr"/>
      <c r="AR33" t="inlineStr"/>
      <c r="AS33" t="inlineStr"/>
      <c r="AT33" t="inlineStr"/>
      <c r="AU33" t="inlineStr"/>
      <c r="AV33" t="inlineStr"/>
      <c r="AW33" t="inlineStr"/>
      <c r="AX33" t="inlineStr"/>
      <c r="AY33" t="inlineStr"/>
      <c r="AZ33" t="inlineStr"/>
      <c r="BA33" t="inlineStr"/>
      <c r="BB33" t="inlineStr"/>
      <c r="BC33" t="inlineStr"/>
      <c r="BD33" t="inlineStr"/>
      <c r="BE33" t="inlineStr"/>
      <c r="BF33" t="inlineStr"/>
      <c r="BG33" t="inlineStr"/>
      <c r="BH33" t="inlineStr"/>
      <c r="BI33" t="inlineStr"/>
      <c r="BJ33" t="inlineStr"/>
      <c r="BK33" t="inlineStr"/>
      <c r="BL33" t="inlineStr"/>
      <c r="BM33" t="inlineStr"/>
      <c r="BN33" t="inlineStr"/>
      <c r="BO33" t="inlineStr"/>
      <c r="BP33" t="inlineStr"/>
      <c r="BQ33" t="inlineStr"/>
      <c r="BR33" t="inlineStr"/>
      <c r="BS33" t="inlineStr"/>
      <c r="BT33" t="inlineStr"/>
      <c r="BU33" t="inlineStr"/>
      <c r="BV33" t="inlineStr"/>
      <c r="BW33" t="inlineStr"/>
      <c r="BX33" t="inlineStr"/>
      <c r="BY33" t="inlineStr"/>
      <c r="BZ33" t="inlineStr"/>
      <c r="CA33" t="inlineStr"/>
      <c r="CB33" t="inlineStr"/>
      <c r="CC33" t="inlineStr"/>
      <c r="CD33" t="inlineStr"/>
      <c r="CE33" t="inlineStr"/>
      <c r="CF33" t="inlineStr"/>
      <c r="CG33" t="inlineStr"/>
      <c r="CH33" t="inlineStr"/>
      <c r="CI33" t="inlineStr"/>
      <c r="CJ33" t="inlineStr"/>
      <c r="CK33" t="inlineStr"/>
      <c r="CL33" t="inlineStr"/>
      <c r="CM33" t="inlineStr"/>
    </row>
    <row r="34">
      <c r="B34" s="15" t="inlineStr">
        <is>
          <t>+ Excess Cash</t>
        </is>
      </c>
      <c r="C34" s="34" t="n">
        <v>0</v>
      </c>
      <c r="D34" t="inlineStr"/>
      <c r="E34" t="inlineStr"/>
      <c r="F34" s="23" t="inlineStr">
        <is>
          <t>Weight of Debt</t>
        </is>
      </c>
      <c r="G34" s="42">
        <f>$G$29/($G$29+$G$32)</f>
        <v/>
      </c>
      <c r="H34" t="inlineStr"/>
      <c r="I34" t="inlineStr"/>
      <c r="J34" t="inlineStr"/>
      <c r="K34" t="inlineStr"/>
      <c r="L34" t="inlineStr"/>
      <c r="M34" t="inlineStr"/>
      <c r="N34" t="inlineStr"/>
      <c r="O34" t="inlineStr"/>
      <c r="P34" t="inlineStr"/>
      <c r="Q34" t="inlineStr"/>
      <c r="R34" t="inlineStr"/>
      <c r="S34" t="inlineStr"/>
      <c r="T34" t="inlineStr"/>
      <c r="U34" t="inlineStr"/>
      <c r="V34" t="inlineStr"/>
      <c r="W34" t="inlineStr"/>
      <c r="X34" t="inlineStr"/>
      <c r="Y34" t="inlineStr"/>
      <c r="Z34" t="inlineStr"/>
      <c r="AA34" t="inlineStr"/>
      <c r="AB34" t="inlineStr"/>
      <c r="AC34" t="inlineStr"/>
      <c r="AD34" t="inlineStr"/>
      <c r="AE34" t="inlineStr"/>
      <c r="AF34" t="inlineStr"/>
      <c r="AG34" t="inlineStr"/>
      <c r="AH34" t="inlineStr"/>
      <c r="AI34" t="inlineStr"/>
      <c r="AJ34" t="inlineStr"/>
      <c r="AK34" t="inlineStr"/>
      <c r="AL34" t="inlineStr"/>
      <c r="AM34" t="inlineStr"/>
      <c r="AN34" t="inlineStr"/>
      <c r="AO34" t="inlineStr"/>
      <c r="AP34" t="inlineStr"/>
      <c r="AQ34" t="inlineStr"/>
      <c r="AR34" t="inlineStr"/>
      <c r="AS34" t="inlineStr"/>
      <c r="AT34" t="inlineStr"/>
      <c r="AU34" t="inlineStr"/>
      <c r="AV34" t="inlineStr"/>
      <c r="AW34" t="inlineStr"/>
      <c r="AX34" t="inlineStr"/>
      <c r="AY34" t="inlineStr"/>
      <c r="AZ34" t="inlineStr"/>
      <c r="BA34" t="inlineStr"/>
      <c r="BB34" t="inlineStr"/>
      <c r="BC34" t="inlineStr"/>
      <c r="BD34" t="inlineStr"/>
      <c r="BE34" t="inlineStr"/>
      <c r="BF34" t="inlineStr"/>
      <c r="BG34" t="inlineStr"/>
      <c r="BH34" t="inlineStr"/>
      <c r="BI34" t="inlineStr"/>
      <c r="BJ34" t="inlineStr"/>
      <c r="BK34" t="inlineStr"/>
      <c r="BL34" t="inlineStr"/>
      <c r="BM34" t="inlineStr"/>
      <c r="BN34" t="inlineStr"/>
      <c r="BO34" t="inlineStr"/>
      <c r="BP34" t="inlineStr"/>
      <c r="BQ34" t="inlineStr"/>
      <c r="BR34" t="inlineStr"/>
      <c r="BS34" t="inlineStr"/>
      <c r="BT34" t="inlineStr"/>
      <c r="BU34" t="inlineStr"/>
      <c r="BV34" t="inlineStr"/>
      <c r="BW34" t="inlineStr"/>
      <c r="BX34" t="inlineStr"/>
      <c r="BY34" t="inlineStr"/>
      <c r="BZ34" t="inlineStr"/>
      <c r="CA34" t="inlineStr"/>
      <c r="CB34" t="inlineStr"/>
      <c r="CC34" t="inlineStr"/>
      <c r="CD34" t="inlineStr"/>
      <c r="CE34" t="inlineStr"/>
      <c r="CF34" t="inlineStr"/>
      <c r="CG34" t="inlineStr"/>
      <c r="CH34" t="inlineStr"/>
      <c r="CI34" t="inlineStr"/>
      <c r="CJ34" t="inlineStr"/>
      <c r="CK34" t="inlineStr"/>
      <c r="CL34" t="inlineStr"/>
      <c r="CM34" t="inlineStr"/>
    </row>
    <row r="35">
      <c r="B35" s="23" t="inlineStr">
        <is>
          <t>- Total Debt</t>
        </is>
      </c>
      <c r="C35" s="38" t="n">
        <v>98657000000</v>
      </c>
      <c r="D35" t="inlineStr"/>
      <c r="E35" t="inlineStr"/>
      <c r="F35" s="39" t="inlineStr"/>
      <c r="G35" s="40" t="inlineStr"/>
      <c r="H35" t="inlineStr"/>
      <c r="I35" t="inlineStr"/>
      <c r="J35" t="inlineStr"/>
      <c r="K35" t="inlineStr"/>
      <c r="L35" t="inlineStr"/>
      <c r="M35" t="inlineStr"/>
      <c r="N35" t="inlineStr"/>
      <c r="O35" t="inlineStr"/>
      <c r="P35" t="inlineStr"/>
      <c r="Q35" t="inlineStr"/>
      <c r="R35" t="inlineStr"/>
      <c r="S35" t="inlineStr"/>
      <c r="T35" t="inlineStr"/>
      <c r="U35" t="inlineStr"/>
      <c r="V35" t="inlineStr"/>
      <c r="W35" t="inlineStr"/>
      <c r="X35" t="inlineStr"/>
      <c r="Y35" t="inlineStr"/>
      <c r="Z35" t="inlineStr"/>
      <c r="AA35" t="inlineStr"/>
      <c r="AB35" t="inlineStr"/>
      <c r="AC35" t="inlineStr"/>
      <c r="AD35" t="inlineStr"/>
      <c r="AE35" t="inlineStr"/>
      <c r="AF35" t="inlineStr"/>
      <c r="AG35" t="inlineStr"/>
      <c r="AH35" t="inlineStr"/>
      <c r="AI35" t="inlineStr"/>
      <c r="AJ35" t="inlineStr"/>
      <c r="AK35" t="inlineStr"/>
      <c r="AL35" t="inlineStr"/>
      <c r="AM35" t="inlineStr"/>
      <c r="AN35" t="inlineStr"/>
      <c r="AO35" t="inlineStr"/>
      <c r="AP35" t="inlineStr"/>
      <c r="AQ35" t="inlineStr"/>
      <c r="AR35" t="inlineStr"/>
      <c r="AS35" t="inlineStr"/>
      <c r="AT35" t="inlineStr"/>
      <c r="AU35" t="inlineStr"/>
      <c r="AV35" t="inlineStr"/>
      <c r="AW35" t="inlineStr"/>
      <c r="AX35" t="inlineStr"/>
      <c r="AY35" t="inlineStr"/>
      <c r="AZ35" t="inlineStr"/>
      <c r="BA35" t="inlineStr"/>
      <c r="BB35" t="inlineStr"/>
      <c r="BC35" t="inlineStr"/>
      <c r="BD35" t="inlineStr"/>
      <c r="BE35" t="inlineStr"/>
      <c r="BF35" t="inlineStr"/>
      <c r="BG35" t="inlineStr"/>
      <c r="BH35" t="inlineStr"/>
      <c r="BI35" t="inlineStr"/>
      <c r="BJ35" t="inlineStr"/>
      <c r="BK35" t="inlineStr"/>
      <c r="BL35" t="inlineStr"/>
      <c r="BM35" t="inlineStr"/>
      <c r="BN35" t="inlineStr"/>
      <c r="BO35" t="inlineStr"/>
      <c r="BP35" t="inlineStr"/>
      <c r="BQ35" t="inlineStr"/>
      <c r="BR35" t="inlineStr"/>
      <c r="BS35" t="inlineStr"/>
      <c r="BT35" t="inlineStr"/>
      <c r="BU35" t="inlineStr"/>
      <c r="BV35" t="inlineStr"/>
      <c r="BW35" t="inlineStr"/>
      <c r="BX35" t="inlineStr"/>
      <c r="BY35" t="inlineStr"/>
      <c r="BZ35" t="inlineStr"/>
      <c r="CA35" t="inlineStr"/>
      <c r="CB35" t="inlineStr"/>
      <c r="CC35" t="inlineStr"/>
      <c r="CD35" t="inlineStr"/>
      <c r="CE35" t="inlineStr"/>
      <c r="CF35" t="inlineStr"/>
      <c r="CG35" t="inlineStr"/>
      <c r="CH35" t="inlineStr"/>
      <c r="CI35" t="inlineStr"/>
      <c r="CJ35" t="inlineStr"/>
      <c r="CK35" t="inlineStr"/>
      <c r="CL35" t="inlineStr"/>
      <c r="CM35" t="inlineStr"/>
    </row>
    <row r="36">
      <c r="B36" s="39" t="inlineStr"/>
      <c r="C36" s="40" t="inlineStr"/>
      <c r="D36" t="inlineStr"/>
      <c r="E36" t="inlineStr"/>
      <c r="F36" s="15" t="inlineStr">
        <is>
          <t>Beta</t>
        </is>
      </c>
      <c r="G36" s="43" t="n">
        <v>0.01</v>
      </c>
      <c r="H36" t="inlineStr"/>
      <c r="I36" t="inlineStr"/>
      <c r="J36" t="inlineStr"/>
      <c r="K36" t="inlineStr"/>
      <c r="L36" t="inlineStr"/>
      <c r="M36" t="inlineStr"/>
      <c r="N36" t="inlineStr"/>
      <c r="O36" t="inlineStr"/>
      <c r="P36" t="inlineStr"/>
      <c r="Q36" t="inlineStr"/>
      <c r="R36" t="inlineStr"/>
      <c r="S36" t="inlineStr"/>
      <c r="T36" t="inlineStr"/>
      <c r="U36" t="inlineStr"/>
      <c r="V36" t="inlineStr"/>
      <c r="W36" t="inlineStr"/>
      <c r="X36" t="inlineStr"/>
      <c r="Y36" t="inlineStr"/>
      <c r="Z36" t="inlineStr"/>
      <c r="AA36" t="inlineStr"/>
      <c r="AB36" t="inlineStr"/>
      <c r="AC36" t="inlineStr"/>
      <c r="AD36" t="inlineStr"/>
      <c r="AE36" t="inlineStr"/>
      <c r="AF36" t="inlineStr"/>
      <c r="AG36" t="inlineStr"/>
      <c r="AH36" t="inlineStr"/>
      <c r="AI36" t="inlineStr"/>
      <c r="AJ36" t="inlineStr"/>
      <c r="AK36" t="inlineStr"/>
      <c r="AL36" t="inlineStr"/>
      <c r="AM36" t="inlineStr"/>
      <c r="AN36" t="inlineStr"/>
      <c r="AO36" t="inlineStr"/>
      <c r="AP36" t="inlineStr"/>
      <c r="AQ36" t="inlineStr"/>
      <c r="AR36" t="inlineStr"/>
      <c r="AS36" t="inlineStr"/>
      <c r="AT36" t="inlineStr"/>
      <c r="AU36" t="inlineStr"/>
      <c r="AV36" t="inlineStr"/>
      <c r="AW36" t="inlineStr"/>
      <c r="AX36" t="inlineStr"/>
      <c r="AY36" t="inlineStr"/>
      <c r="AZ36" t="inlineStr"/>
      <c r="BA36" t="inlineStr"/>
      <c r="BB36" t="inlineStr"/>
      <c r="BC36" t="inlineStr"/>
      <c r="BD36" t="inlineStr"/>
      <c r="BE36" t="inlineStr"/>
      <c r="BF36" t="inlineStr"/>
      <c r="BG36" t="inlineStr"/>
      <c r="BH36" t="inlineStr"/>
      <c r="BI36" t="inlineStr"/>
      <c r="BJ36" t="inlineStr"/>
      <c r="BK36" t="inlineStr"/>
      <c r="BL36" t="inlineStr"/>
      <c r="BM36" t="inlineStr"/>
      <c r="BN36" t="inlineStr"/>
      <c r="BO36" t="inlineStr"/>
      <c r="BP36" t="inlineStr"/>
      <c r="BQ36" t="inlineStr"/>
      <c r="BR36" t="inlineStr"/>
      <c r="BS36" t="inlineStr"/>
      <c r="BT36" t="inlineStr"/>
      <c r="BU36" t="inlineStr"/>
      <c r="BV36" t="inlineStr"/>
      <c r="BW36" t="inlineStr"/>
      <c r="BX36" t="inlineStr"/>
      <c r="BY36" t="inlineStr"/>
      <c r="BZ36" t="inlineStr"/>
      <c r="CA36" t="inlineStr"/>
      <c r="CB36" t="inlineStr"/>
      <c r="CC36" t="inlineStr"/>
      <c r="CD36" t="inlineStr"/>
      <c r="CE36" t="inlineStr"/>
      <c r="CF36" t="inlineStr"/>
      <c r="CG36" t="inlineStr"/>
      <c r="CH36" t="inlineStr"/>
      <c r="CI36" t="inlineStr"/>
      <c r="CJ36" t="inlineStr"/>
      <c r="CK36" t="inlineStr"/>
      <c r="CL36" t="inlineStr"/>
      <c r="CM36" t="inlineStr"/>
    </row>
    <row r="37">
      <c r="B37" s="15" t="inlineStr">
        <is>
          <t>Present Value of Future Equity</t>
        </is>
      </c>
      <c r="C37" s="34">
        <f>$C$32+$C$34-$C$35</f>
        <v/>
      </c>
      <c r="D37" t="inlineStr"/>
      <c r="E37" t="inlineStr"/>
      <c r="F37" s="19" t="inlineStr">
        <is>
          <t>Risk Free Rate of Return</t>
        </is>
      </c>
      <c r="G37" s="41">
        <f>Model_Assumptions!$G$8</f>
        <v/>
      </c>
      <c r="H37" t="inlineStr"/>
      <c r="I37" t="inlineStr"/>
      <c r="J37" t="inlineStr"/>
      <c r="K37" t="inlineStr"/>
      <c r="L37" t="inlineStr"/>
      <c r="M37" t="inlineStr"/>
      <c r="N37" t="inlineStr"/>
      <c r="O37" t="inlineStr"/>
      <c r="P37" t="inlineStr"/>
      <c r="Q37" t="inlineStr"/>
      <c r="R37" t="inlineStr"/>
      <c r="S37" t="inlineStr"/>
      <c r="T37" t="inlineStr"/>
      <c r="U37" t="inlineStr"/>
      <c r="V37" t="inlineStr"/>
      <c r="W37" t="inlineStr"/>
      <c r="X37" t="inlineStr"/>
      <c r="Y37" t="inlineStr"/>
      <c r="Z37" t="inlineStr"/>
      <c r="AA37" t="inlineStr"/>
      <c r="AB37" t="inlineStr"/>
      <c r="AC37" t="inlineStr"/>
      <c r="AD37" t="inlineStr"/>
      <c r="AE37" t="inlineStr"/>
      <c r="AF37" t="inlineStr"/>
      <c r="AG37" t="inlineStr"/>
      <c r="AH37" t="inlineStr"/>
      <c r="AI37" t="inlineStr"/>
      <c r="AJ37" t="inlineStr"/>
      <c r="AK37" t="inlineStr"/>
      <c r="AL37" t="inlineStr"/>
      <c r="AM37" t="inlineStr"/>
      <c r="AN37" t="inlineStr"/>
      <c r="AO37" t="inlineStr"/>
      <c r="AP37" t="inlineStr"/>
      <c r="AQ37" t="inlineStr"/>
      <c r="AR37" t="inlineStr"/>
      <c r="AS37" t="inlineStr"/>
      <c r="AT37" t="inlineStr"/>
      <c r="AU37" t="inlineStr"/>
      <c r="AV37" t="inlineStr"/>
      <c r="AW37" t="inlineStr"/>
      <c r="AX37" t="inlineStr"/>
      <c r="AY37" t="inlineStr"/>
      <c r="AZ37" t="inlineStr"/>
      <c r="BA37" t="inlineStr"/>
      <c r="BB37" t="inlineStr"/>
      <c r="BC37" t="inlineStr"/>
      <c r="BD37" t="inlineStr"/>
      <c r="BE37" t="inlineStr"/>
      <c r="BF37" t="inlineStr"/>
      <c r="BG37" t="inlineStr"/>
      <c r="BH37" t="inlineStr"/>
      <c r="BI37" t="inlineStr"/>
      <c r="BJ37" t="inlineStr"/>
      <c r="BK37" t="inlineStr"/>
      <c r="BL37" t="inlineStr"/>
      <c r="BM37" t="inlineStr"/>
      <c r="BN37" t="inlineStr"/>
      <c r="BO37" t="inlineStr"/>
      <c r="BP37" t="inlineStr"/>
      <c r="BQ37" t="inlineStr"/>
      <c r="BR37" t="inlineStr"/>
      <c r="BS37" t="inlineStr"/>
      <c r="BT37" t="inlineStr"/>
      <c r="BU37" t="inlineStr"/>
      <c r="BV37" t="inlineStr"/>
      <c r="BW37" t="inlineStr"/>
      <c r="BX37" t="inlineStr"/>
      <c r="BY37" t="inlineStr"/>
      <c r="BZ37" t="inlineStr"/>
      <c r="CA37" t="inlineStr"/>
      <c r="CB37" t="inlineStr"/>
      <c r="CC37" t="inlineStr"/>
      <c r="CD37" t="inlineStr"/>
      <c r="CE37" t="inlineStr"/>
      <c r="CF37" t="inlineStr"/>
      <c r="CG37" t="inlineStr"/>
      <c r="CH37" t="inlineStr"/>
      <c r="CI37" t="inlineStr"/>
      <c r="CJ37" t="inlineStr"/>
      <c r="CK37" t="inlineStr"/>
      <c r="CL37" t="inlineStr"/>
      <c r="CM37" t="inlineStr"/>
    </row>
    <row r="38">
      <c r="B38" s="23" t="inlineStr">
        <is>
          <t>Weighted Average Shares Outstanding</t>
        </is>
      </c>
      <c r="C38" s="44" t="n">
        <v>15004697000</v>
      </c>
      <c r="D38" t="inlineStr"/>
      <c r="E38" t="inlineStr"/>
      <c r="F38" s="19" t="inlineStr">
        <is>
          <t>Expected Market Return</t>
        </is>
      </c>
      <c r="G38" s="41">
        <f>Model_Assumptions!$F$8</f>
        <v/>
      </c>
      <c r="H38" t="inlineStr"/>
      <c r="I38" t="inlineStr"/>
      <c r="J38" t="inlineStr"/>
      <c r="K38" t="inlineStr"/>
      <c r="L38" t="inlineStr"/>
      <c r="M38" t="inlineStr"/>
      <c r="N38" t="inlineStr"/>
      <c r="O38" t="inlineStr"/>
      <c r="P38" t="inlineStr"/>
      <c r="Q38" t="inlineStr"/>
      <c r="R38" t="inlineStr"/>
      <c r="S38" t="inlineStr"/>
      <c r="T38" t="inlineStr"/>
      <c r="U38" t="inlineStr"/>
      <c r="V38" t="inlineStr"/>
      <c r="W38" t="inlineStr"/>
      <c r="X38" t="inlineStr"/>
      <c r="Y38" t="inlineStr"/>
      <c r="Z38" t="inlineStr"/>
      <c r="AA38" t="inlineStr"/>
      <c r="AB38" t="inlineStr"/>
      <c r="AC38" t="inlineStr"/>
      <c r="AD38" t="inlineStr"/>
      <c r="AE38" t="inlineStr"/>
      <c r="AF38" t="inlineStr"/>
      <c r="AG38" t="inlineStr"/>
      <c r="AH38" t="inlineStr"/>
      <c r="AI38" t="inlineStr"/>
      <c r="AJ38" t="inlineStr"/>
      <c r="AK38" t="inlineStr"/>
      <c r="AL38" t="inlineStr"/>
      <c r="AM38" t="inlineStr"/>
      <c r="AN38" t="inlineStr"/>
      <c r="AO38" t="inlineStr"/>
      <c r="AP38" t="inlineStr"/>
      <c r="AQ38" t="inlineStr"/>
      <c r="AR38" t="inlineStr"/>
      <c r="AS38" t="inlineStr"/>
      <c r="AT38" t="inlineStr"/>
      <c r="AU38" t="inlineStr"/>
      <c r="AV38" t="inlineStr"/>
      <c r="AW38" t="inlineStr"/>
      <c r="AX38" t="inlineStr"/>
      <c r="AY38" t="inlineStr"/>
      <c r="AZ38" t="inlineStr"/>
      <c r="BA38" t="inlineStr"/>
      <c r="BB38" t="inlineStr"/>
      <c r="BC38" t="inlineStr"/>
      <c r="BD38" t="inlineStr"/>
      <c r="BE38" t="inlineStr"/>
      <c r="BF38" t="inlineStr"/>
      <c r="BG38" t="inlineStr"/>
      <c r="BH38" t="inlineStr"/>
      <c r="BI38" t="inlineStr"/>
      <c r="BJ38" t="inlineStr"/>
      <c r="BK38" t="inlineStr"/>
      <c r="BL38" t="inlineStr"/>
      <c r="BM38" t="inlineStr"/>
      <c r="BN38" t="inlineStr"/>
      <c r="BO38" t="inlineStr"/>
      <c r="BP38" t="inlineStr"/>
      <c r="BQ38" t="inlineStr"/>
      <c r="BR38" t="inlineStr"/>
      <c r="BS38" t="inlineStr"/>
      <c r="BT38" t="inlineStr"/>
      <c r="BU38" t="inlineStr"/>
      <c r="BV38" t="inlineStr"/>
      <c r="BW38" t="inlineStr"/>
      <c r="BX38" t="inlineStr"/>
      <c r="BY38" t="inlineStr"/>
      <c r="BZ38" t="inlineStr"/>
      <c r="CA38" t="inlineStr"/>
      <c r="CB38" t="inlineStr"/>
      <c r="CC38" t="inlineStr"/>
      <c r="CD38" t="inlineStr"/>
      <c r="CE38" t="inlineStr"/>
      <c r="CF38" t="inlineStr"/>
      <c r="CG38" t="inlineStr"/>
      <c r="CH38" t="inlineStr"/>
      <c r="CI38" t="inlineStr"/>
      <c r="CJ38" t="inlineStr"/>
      <c r="CK38" t="inlineStr"/>
      <c r="CL38" t="inlineStr"/>
      <c r="CM38" t="inlineStr"/>
    </row>
    <row r="39">
      <c r="B39" s="39" t="inlineStr"/>
      <c r="C39" s="40" t="inlineStr"/>
      <c r="D39" t="inlineStr"/>
      <c r="E39" t="inlineStr"/>
      <c r="F39" s="19" t="inlineStr">
        <is>
          <t>Market Risk Premium</t>
        </is>
      </c>
      <c r="G39" s="41">
        <f>$G$38-$G$37</f>
        <v/>
      </c>
      <c r="H39" t="inlineStr"/>
      <c r="I39" t="inlineStr"/>
      <c r="J39" t="inlineStr"/>
      <c r="K39" t="inlineStr"/>
      <c r="L39" t="inlineStr"/>
      <c r="M39" t="inlineStr"/>
      <c r="N39" t="inlineStr"/>
      <c r="O39" t="inlineStr"/>
      <c r="P39" t="inlineStr"/>
      <c r="Q39" t="inlineStr"/>
      <c r="R39" t="inlineStr"/>
      <c r="S39" t="inlineStr"/>
      <c r="T39" t="inlineStr"/>
      <c r="U39" t="inlineStr"/>
      <c r="V39" t="inlineStr"/>
      <c r="W39" t="inlineStr"/>
      <c r="X39" t="inlineStr"/>
      <c r="Y39" t="inlineStr"/>
      <c r="Z39" t="inlineStr"/>
      <c r="AA39" t="inlineStr"/>
      <c r="AB39" t="inlineStr"/>
      <c r="AC39" t="inlineStr"/>
      <c r="AD39" t="inlineStr"/>
      <c r="AE39" t="inlineStr"/>
      <c r="AF39" t="inlineStr"/>
      <c r="AG39" t="inlineStr"/>
      <c r="AH39" t="inlineStr"/>
      <c r="AI39" t="inlineStr"/>
      <c r="AJ39" t="inlineStr"/>
      <c r="AK39" t="inlineStr"/>
      <c r="AL39" t="inlineStr"/>
      <c r="AM39" t="inlineStr"/>
      <c r="AN39" t="inlineStr"/>
      <c r="AO39" t="inlineStr"/>
      <c r="AP39" t="inlineStr"/>
      <c r="AQ39" t="inlineStr"/>
      <c r="AR39" t="inlineStr"/>
      <c r="AS39" t="inlineStr"/>
      <c r="AT39" t="inlineStr"/>
      <c r="AU39" t="inlineStr"/>
      <c r="AV39" t="inlineStr"/>
      <c r="AW39" t="inlineStr"/>
      <c r="AX39" t="inlineStr"/>
      <c r="AY39" t="inlineStr"/>
      <c r="AZ39" t="inlineStr"/>
      <c r="BA39" t="inlineStr"/>
      <c r="BB39" t="inlineStr"/>
      <c r="BC39" t="inlineStr"/>
      <c r="BD39" t="inlineStr"/>
      <c r="BE39" t="inlineStr"/>
      <c r="BF39" t="inlineStr"/>
      <c r="BG39" t="inlineStr"/>
      <c r="BH39" t="inlineStr"/>
      <c r="BI39" t="inlineStr"/>
      <c r="BJ39" t="inlineStr"/>
      <c r="BK39" t="inlineStr"/>
      <c r="BL39" t="inlineStr"/>
      <c r="BM39" t="inlineStr"/>
      <c r="BN39" t="inlineStr"/>
      <c r="BO39" t="inlineStr"/>
      <c r="BP39" t="inlineStr"/>
      <c r="BQ39" t="inlineStr"/>
      <c r="BR39" t="inlineStr"/>
      <c r="BS39" t="inlineStr"/>
      <c r="BT39" t="inlineStr"/>
      <c r="BU39" t="inlineStr"/>
      <c r="BV39" t="inlineStr"/>
      <c r="BW39" t="inlineStr"/>
      <c r="BX39" t="inlineStr"/>
      <c r="BY39" t="inlineStr"/>
      <c r="BZ39" t="inlineStr"/>
      <c r="CA39" t="inlineStr"/>
      <c r="CB39" t="inlineStr"/>
      <c r="CC39" t="inlineStr"/>
      <c r="CD39" t="inlineStr"/>
      <c r="CE39" t="inlineStr"/>
      <c r="CF39" t="inlineStr"/>
      <c r="CG39" t="inlineStr"/>
      <c r="CH39" t="inlineStr"/>
      <c r="CI39" t="inlineStr"/>
      <c r="CJ39" t="inlineStr"/>
      <c r="CK39" t="inlineStr"/>
      <c r="CL39" t="inlineStr"/>
      <c r="CM39" t="inlineStr"/>
    </row>
    <row r="40">
      <c r="B40" s="45" t="inlineStr">
        <is>
          <t>Expected Price Per Share</t>
        </is>
      </c>
      <c r="C40" s="46">
        <f>$C$37/$C$38</f>
        <v/>
      </c>
      <c r="D40" t="inlineStr"/>
      <c r="E40" t="inlineStr"/>
      <c r="F40" s="19" t="inlineStr">
        <is>
          <t>Expected Return of Equity</t>
        </is>
      </c>
      <c r="G40" s="41">
        <f>$G$38+($G$39*$G$36)</f>
        <v/>
      </c>
      <c r="H40" t="inlineStr"/>
      <c r="I40" t="inlineStr"/>
      <c r="J40" t="inlineStr"/>
      <c r="K40" t="inlineStr"/>
      <c r="L40" t="inlineStr"/>
      <c r="M40" t="inlineStr"/>
      <c r="N40" t="inlineStr"/>
      <c r="O40" t="inlineStr"/>
      <c r="P40" t="inlineStr"/>
      <c r="Q40" t="inlineStr"/>
      <c r="R40" t="inlineStr"/>
      <c r="S40" t="inlineStr"/>
      <c r="T40" t="inlineStr"/>
      <c r="U40" t="inlineStr"/>
      <c r="V40" t="inlineStr"/>
      <c r="W40" t="inlineStr"/>
      <c r="X40" t="inlineStr"/>
      <c r="Y40" t="inlineStr"/>
      <c r="Z40" t="inlineStr"/>
      <c r="AA40" t="inlineStr"/>
      <c r="AB40" t="inlineStr"/>
      <c r="AC40" t="inlineStr"/>
      <c r="AD40" t="inlineStr"/>
      <c r="AE40" t="inlineStr"/>
      <c r="AF40" t="inlineStr"/>
      <c r="AG40" t="inlineStr"/>
      <c r="AH40" t="inlineStr"/>
      <c r="AI40" t="inlineStr"/>
      <c r="AJ40" t="inlineStr"/>
      <c r="AK40" t="inlineStr"/>
      <c r="AL40" t="inlineStr"/>
      <c r="AM40" t="inlineStr"/>
      <c r="AN40" t="inlineStr"/>
      <c r="AO40" t="inlineStr"/>
      <c r="AP40" t="inlineStr"/>
      <c r="AQ40" t="inlineStr"/>
      <c r="AR40" t="inlineStr"/>
      <c r="AS40" t="inlineStr"/>
      <c r="AT40" t="inlineStr"/>
      <c r="AU40" t="inlineStr"/>
      <c r="AV40" t="inlineStr"/>
      <c r="AW40" t="inlineStr"/>
      <c r="AX40" t="inlineStr"/>
      <c r="AY40" t="inlineStr"/>
      <c r="AZ40" t="inlineStr"/>
      <c r="BA40" t="inlineStr"/>
      <c r="BB40" t="inlineStr"/>
      <c r="BC40" t="inlineStr"/>
      <c r="BD40" t="inlineStr"/>
      <c r="BE40" t="inlineStr"/>
      <c r="BF40" t="inlineStr"/>
      <c r="BG40" t="inlineStr"/>
      <c r="BH40" t="inlineStr"/>
      <c r="BI40" t="inlineStr"/>
      <c r="BJ40" t="inlineStr"/>
      <c r="BK40" t="inlineStr"/>
      <c r="BL40" t="inlineStr"/>
      <c r="BM40" t="inlineStr"/>
      <c r="BN40" t="inlineStr"/>
      <c r="BO40" t="inlineStr"/>
      <c r="BP40" t="inlineStr"/>
      <c r="BQ40" t="inlineStr"/>
      <c r="BR40" t="inlineStr"/>
      <c r="BS40" t="inlineStr"/>
      <c r="BT40" t="inlineStr"/>
      <c r="BU40" t="inlineStr"/>
      <c r="BV40" t="inlineStr"/>
      <c r="BW40" t="inlineStr"/>
      <c r="BX40" t="inlineStr"/>
      <c r="BY40" t="inlineStr"/>
      <c r="BZ40" t="inlineStr"/>
      <c r="CA40" t="inlineStr"/>
      <c r="CB40" t="inlineStr"/>
      <c r="CC40" t="inlineStr"/>
      <c r="CD40" t="inlineStr"/>
      <c r="CE40" t="inlineStr"/>
      <c r="CF40" t="inlineStr"/>
      <c r="CG40" t="inlineStr"/>
      <c r="CH40" t="inlineStr"/>
      <c r="CI40" t="inlineStr"/>
      <c r="CJ40" t="inlineStr"/>
      <c r="CK40" t="inlineStr"/>
      <c r="CL40" t="inlineStr"/>
      <c r="CM40" t="inlineStr"/>
    </row>
    <row r="41">
      <c r="B41" s="39" t="inlineStr"/>
      <c r="C41" s="40" t="inlineStr"/>
      <c r="D41" t="inlineStr"/>
      <c r="E41" t="inlineStr"/>
      <c r="F41" s="23" t="inlineStr">
        <is>
          <t>Expected Cost of Debt</t>
        </is>
      </c>
      <c r="G41" s="42" t="n">
        <v>0</v>
      </c>
      <c r="H41" t="inlineStr"/>
      <c r="I41" t="inlineStr"/>
      <c r="J41" t="inlineStr"/>
      <c r="K41" t="inlineStr"/>
      <c r="L41" t="inlineStr"/>
      <c r="M41" t="inlineStr"/>
      <c r="N41" t="inlineStr"/>
      <c r="O41" t="inlineStr"/>
      <c r="P41" t="inlineStr"/>
      <c r="Q41" t="inlineStr"/>
      <c r="R41" t="inlineStr"/>
      <c r="S41" t="inlineStr"/>
      <c r="T41" t="inlineStr"/>
      <c r="U41" t="inlineStr"/>
      <c r="V41" t="inlineStr"/>
      <c r="W41" t="inlineStr"/>
      <c r="X41" t="inlineStr"/>
      <c r="Y41" t="inlineStr"/>
      <c r="Z41" t="inlineStr"/>
      <c r="AA41" t="inlineStr"/>
      <c r="AB41" t="inlineStr"/>
      <c r="AC41" t="inlineStr"/>
      <c r="AD41" t="inlineStr"/>
      <c r="AE41" t="inlineStr"/>
      <c r="AF41" t="inlineStr"/>
      <c r="AG41" t="inlineStr"/>
      <c r="AH41" t="inlineStr"/>
      <c r="AI41" t="inlineStr"/>
      <c r="AJ41" t="inlineStr"/>
      <c r="AK41" t="inlineStr"/>
      <c r="AL41" t="inlineStr"/>
      <c r="AM41" t="inlineStr"/>
      <c r="AN41" t="inlineStr"/>
      <c r="AO41" t="inlineStr"/>
      <c r="AP41" t="inlineStr"/>
      <c r="AQ41" t="inlineStr"/>
      <c r="AR41" t="inlineStr"/>
      <c r="AS41" t="inlineStr"/>
      <c r="AT41" t="inlineStr"/>
      <c r="AU41" t="inlineStr"/>
      <c r="AV41" t="inlineStr"/>
      <c r="AW41" t="inlineStr"/>
      <c r="AX41" t="inlineStr"/>
      <c r="AY41" t="inlineStr"/>
      <c r="AZ41" t="inlineStr"/>
      <c r="BA41" t="inlineStr"/>
      <c r="BB41" t="inlineStr"/>
      <c r="BC41" t="inlineStr"/>
      <c r="BD41" t="inlineStr"/>
      <c r="BE41" t="inlineStr"/>
      <c r="BF41" t="inlineStr"/>
      <c r="BG41" t="inlineStr"/>
      <c r="BH41" t="inlineStr"/>
      <c r="BI41" t="inlineStr"/>
      <c r="BJ41" t="inlineStr"/>
      <c r="BK41" t="inlineStr"/>
      <c r="BL41" t="inlineStr"/>
      <c r="BM41" t="inlineStr"/>
      <c r="BN41" t="inlineStr"/>
      <c r="BO41" t="inlineStr"/>
      <c r="BP41" t="inlineStr"/>
      <c r="BQ41" t="inlineStr"/>
      <c r="BR41" t="inlineStr"/>
      <c r="BS41" t="inlineStr"/>
      <c r="BT41" t="inlineStr"/>
      <c r="BU41" t="inlineStr"/>
      <c r="BV41" t="inlineStr"/>
      <c r="BW41" t="inlineStr"/>
      <c r="BX41" t="inlineStr"/>
      <c r="BY41" t="inlineStr"/>
      <c r="BZ41" t="inlineStr"/>
      <c r="CA41" t="inlineStr"/>
      <c r="CB41" t="inlineStr"/>
      <c r="CC41" t="inlineStr"/>
      <c r="CD41" t="inlineStr"/>
      <c r="CE41" t="inlineStr"/>
      <c r="CF41" t="inlineStr"/>
      <c r="CG41" t="inlineStr"/>
      <c r="CH41" t="inlineStr"/>
      <c r="CI41" t="inlineStr"/>
      <c r="CJ41" t="inlineStr"/>
      <c r="CK41" t="inlineStr"/>
      <c r="CL41" t="inlineStr"/>
      <c r="CM41" t="inlineStr"/>
    </row>
    <row r="42">
      <c r="B42" s="45" t="inlineStr">
        <is>
          <t>Under / Over</t>
        </is>
      </c>
      <c r="C42" s="47">
        <f>IF((C40-G30)/G30 &gt; 0.1, "UNDER VALUED",  IF((C40-G30)/G30 &lt; -0.1, "OVER VALUED", "FAIRLY VALUED"))</f>
        <v/>
      </c>
      <c r="D42" t="inlineStr"/>
      <c r="E42" t="inlineStr"/>
      <c r="F42" s="39" t="inlineStr"/>
      <c r="G42" s="40" t="inlineStr"/>
      <c r="H42" t="inlineStr"/>
      <c r="I42" t="inlineStr"/>
      <c r="J42" t="inlineStr"/>
      <c r="K42" t="inlineStr"/>
      <c r="L42" t="inlineStr"/>
      <c r="M42" t="inlineStr"/>
      <c r="N42" t="inlineStr"/>
      <c r="O42" t="inlineStr"/>
      <c r="P42" t="inlineStr"/>
      <c r="Q42" t="inlineStr"/>
      <c r="R42" t="inlineStr"/>
      <c r="S42" t="inlineStr"/>
      <c r="T42" t="inlineStr"/>
      <c r="U42" t="inlineStr"/>
      <c r="V42" t="inlineStr"/>
      <c r="W42" t="inlineStr"/>
      <c r="X42" t="inlineStr"/>
      <c r="Y42" t="inlineStr"/>
      <c r="Z42" t="inlineStr"/>
      <c r="AA42" t="inlineStr"/>
      <c r="AB42" t="inlineStr"/>
      <c r="AC42" t="inlineStr"/>
      <c r="AD42" t="inlineStr"/>
      <c r="AE42" t="inlineStr"/>
      <c r="AF42" t="inlineStr"/>
      <c r="AG42" t="inlineStr"/>
      <c r="AH42" t="inlineStr"/>
      <c r="AI42" t="inlineStr"/>
      <c r="AJ42" t="inlineStr"/>
      <c r="AK42" t="inlineStr"/>
      <c r="AL42" t="inlineStr"/>
      <c r="AM42" t="inlineStr"/>
      <c r="AN42" t="inlineStr"/>
      <c r="AO42" t="inlineStr"/>
      <c r="AP42" t="inlineStr"/>
      <c r="AQ42" t="inlineStr"/>
      <c r="AR42" t="inlineStr"/>
      <c r="AS42" t="inlineStr"/>
      <c r="AT42" t="inlineStr"/>
      <c r="AU42" t="inlineStr"/>
      <c r="AV42" t="inlineStr"/>
      <c r="AW42" t="inlineStr"/>
      <c r="AX42" t="inlineStr"/>
      <c r="AY42" t="inlineStr"/>
      <c r="AZ42" t="inlineStr"/>
      <c r="BA42" t="inlineStr"/>
      <c r="BB42" t="inlineStr"/>
      <c r="BC42" t="inlineStr"/>
      <c r="BD42" t="inlineStr"/>
      <c r="BE42" t="inlineStr"/>
      <c r="BF42" t="inlineStr"/>
      <c r="BG42" t="inlineStr"/>
      <c r="BH42" t="inlineStr"/>
      <c r="BI42" t="inlineStr"/>
      <c r="BJ42" t="inlineStr"/>
      <c r="BK42" t="inlineStr"/>
      <c r="BL42" t="inlineStr"/>
      <c r="BM42" t="inlineStr"/>
      <c r="BN42" t="inlineStr"/>
      <c r="BO42" t="inlineStr"/>
      <c r="BP42" t="inlineStr"/>
      <c r="BQ42" t="inlineStr"/>
      <c r="BR42" t="inlineStr"/>
      <c r="BS42" t="inlineStr"/>
      <c r="BT42" t="inlineStr"/>
      <c r="BU42" t="inlineStr"/>
      <c r="BV42" t="inlineStr"/>
      <c r="BW42" t="inlineStr"/>
      <c r="BX42" t="inlineStr"/>
      <c r="BY42" t="inlineStr"/>
      <c r="BZ42" t="inlineStr"/>
      <c r="CA42" t="inlineStr"/>
      <c r="CB42" t="inlineStr"/>
      <c r="CC42" t="inlineStr"/>
      <c r="CD42" t="inlineStr"/>
      <c r="CE42" t="inlineStr"/>
      <c r="CF42" t="inlineStr"/>
      <c r="CG42" t="inlineStr"/>
      <c r="CH42" t="inlineStr"/>
      <c r="CI42" t="inlineStr"/>
      <c r="CJ42" t="inlineStr"/>
      <c r="CK42" t="inlineStr"/>
      <c r="CL42" t="inlineStr"/>
      <c r="CM42" t="inlineStr"/>
    </row>
    <row r="43">
      <c r="B43" t="inlineStr"/>
      <c r="C43" t="inlineStr"/>
      <c r="D43" t="inlineStr"/>
      <c r="E43" t="inlineStr"/>
      <c r="F43" s="45" t="inlineStr">
        <is>
          <t>WACC</t>
        </is>
      </c>
      <c r="G43" s="48">
        <f>($G$40*$G$33)+($G$41 * $G$34 * (1-$C$9))</f>
        <v/>
      </c>
      <c r="H43" t="inlineStr"/>
      <c r="I43" t="inlineStr"/>
      <c r="J43" t="inlineStr"/>
      <c r="K43" t="inlineStr"/>
      <c r="L43" t="inlineStr"/>
      <c r="M43" t="inlineStr"/>
      <c r="N43" t="inlineStr"/>
      <c r="O43" t="inlineStr"/>
      <c r="P43" t="inlineStr"/>
      <c r="Q43" t="inlineStr"/>
      <c r="R43" t="inlineStr"/>
      <c r="S43" t="inlineStr"/>
      <c r="T43" t="inlineStr"/>
      <c r="U43" t="inlineStr"/>
      <c r="V43" t="inlineStr"/>
      <c r="W43" t="inlineStr"/>
      <c r="X43" t="inlineStr"/>
      <c r="Y43" t="inlineStr"/>
      <c r="Z43" t="inlineStr"/>
      <c r="AA43" t="inlineStr"/>
      <c r="AB43" t="inlineStr"/>
      <c r="AC43" t="inlineStr"/>
      <c r="AD43" t="inlineStr"/>
      <c r="AE43" t="inlineStr"/>
      <c r="AF43" t="inlineStr"/>
      <c r="AG43" t="inlineStr"/>
      <c r="AH43" t="inlineStr"/>
      <c r="AI43" t="inlineStr"/>
      <c r="AJ43" t="inlineStr"/>
      <c r="AK43" t="inlineStr"/>
      <c r="AL43" t="inlineStr"/>
      <c r="AM43" t="inlineStr"/>
      <c r="AN43" t="inlineStr"/>
      <c r="AO43" t="inlineStr"/>
      <c r="AP43" t="inlineStr"/>
      <c r="AQ43" t="inlineStr"/>
      <c r="AR43" t="inlineStr"/>
      <c r="AS43" t="inlineStr"/>
      <c r="AT43" t="inlineStr"/>
      <c r="AU43" t="inlineStr"/>
      <c r="AV43" t="inlineStr"/>
      <c r="AW43" t="inlineStr"/>
      <c r="AX43" t="inlineStr"/>
      <c r="AY43" t="inlineStr"/>
      <c r="AZ43" t="inlineStr"/>
      <c r="BA43" t="inlineStr"/>
      <c r="BB43" t="inlineStr"/>
      <c r="BC43" t="inlineStr"/>
      <c r="BD43" t="inlineStr"/>
      <c r="BE43" t="inlineStr"/>
      <c r="BF43" t="inlineStr"/>
      <c r="BG43" t="inlineStr"/>
      <c r="BH43" t="inlineStr"/>
      <c r="BI43" t="inlineStr"/>
      <c r="BJ43" t="inlineStr"/>
      <c r="BK43" t="inlineStr"/>
      <c r="BL43" t="inlineStr"/>
      <c r="BM43" t="inlineStr"/>
      <c r="BN43" t="inlineStr"/>
      <c r="BO43" t="inlineStr"/>
      <c r="BP43" t="inlineStr"/>
      <c r="BQ43" t="inlineStr"/>
      <c r="BR43" t="inlineStr"/>
      <c r="BS43" t="inlineStr"/>
      <c r="BT43" t="inlineStr"/>
      <c r="BU43" t="inlineStr"/>
      <c r="BV43" t="inlineStr"/>
      <c r="BW43" t="inlineStr"/>
      <c r="BX43" t="inlineStr"/>
      <c r="BY43" t="inlineStr"/>
      <c r="BZ43" t="inlineStr"/>
      <c r="CA43" t="inlineStr"/>
      <c r="CB43" t="inlineStr"/>
      <c r="CC43" t="inlineStr"/>
      <c r="CD43" t="inlineStr"/>
      <c r="CE43" t="inlineStr"/>
      <c r="CF43" t="inlineStr"/>
      <c r="CG43" t="inlineStr"/>
      <c r="CH43" t="inlineStr"/>
      <c r="CI43" t="inlineStr"/>
      <c r="CJ43" t="inlineStr"/>
      <c r="CK43" t="inlineStr"/>
      <c r="CL43" t="inlineStr"/>
      <c r="CM43" t="inlineStr"/>
    </row>
  </sheetData>
  <mergeCells count="1">
    <mergeCell ref="B3:C4"/>
  </mergeCells>
  <pageMargins left="0.75" right="0.75" top="1" bottom="1" header="0.5" footer="0.5"/>
</worksheet>
</file>

<file path=xl/worksheets/sheet5.xml><?xml version="1.0" encoding="utf-8"?>
<worksheet xmlns="http://schemas.openxmlformats.org/spreadsheetml/2006/main">
  <sheetPr>
    <outlinePr summaryBelow="1" summaryRight="1"/>
    <pageSetUpPr/>
  </sheetPr>
  <dimension ref="B3:CM43"/>
  <sheetViews>
    <sheetView workbookViewId="0">
      <selection activeCell="A1" sqref="A1"/>
    </sheetView>
  </sheetViews>
  <sheetFormatPr baseColWidth="8" defaultRowHeight="15" outlineLevelCol="0"/>
  <cols>
    <col width="31" customWidth="1" min="2" max="2"/>
    <col width="21" customWidth="1" min="3" max="3"/>
    <col width="21" customWidth="1" min="4" max="4"/>
    <col width="21" customWidth="1" min="5" max="5"/>
    <col width="21" customWidth="1" min="6" max="6"/>
    <col width="21" customWidth="1" min="7" max="7"/>
    <col width="21" customWidth="1" min="8" max="8"/>
    <col width="21" customWidth="1" min="9" max="9"/>
    <col width="21" customWidth="1" min="10" max="10"/>
    <col width="21" customWidth="1" min="11" max="11"/>
    <col width="21" customWidth="1" min="12" max="12"/>
    <col width="21" customWidth="1" min="13" max="13"/>
    <col width="21" customWidth="1" min="14" max="14"/>
    <col width="21" customWidth="1" min="15" max="15"/>
    <col width="21" customWidth="1" min="16" max="16"/>
    <col width="21" customWidth="1" min="17" max="17"/>
    <col width="21" customWidth="1" min="18" max="18"/>
    <col width="21" customWidth="1" min="19" max="19"/>
    <col width="21" customWidth="1" min="20" max="20"/>
    <col width="21" customWidth="1" min="21" max="21"/>
    <col width="21" customWidth="1" min="22" max="22"/>
    <col width="21" customWidth="1" min="23" max="23"/>
    <col width="21" customWidth="1" min="24" max="24"/>
    <col width="21" customWidth="1" min="25" max="25"/>
    <col width="21" customWidth="1" min="26" max="26"/>
    <col width="21" customWidth="1" min="27" max="27"/>
    <col width="21" customWidth="1" min="28" max="28"/>
    <col width="21" customWidth="1" min="29" max="29"/>
    <col width="21" customWidth="1" min="30" max="30"/>
    <col width="21" customWidth="1" min="31" max="31"/>
    <col width="21" customWidth="1" min="32" max="32"/>
    <col width="21" customWidth="1" min="33" max="33"/>
    <col width="21" customWidth="1" min="34" max="34"/>
    <col width="21" customWidth="1" min="35" max="35"/>
    <col width="21" customWidth="1" min="36" max="36"/>
    <col width="21" customWidth="1" min="37" max="37"/>
    <col width="21" customWidth="1" min="38" max="38"/>
    <col width="21" customWidth="1" min="39" max="39"/>
    <col width="21" customWidth="1" min="40" max="40"/>
    <col width="21" customWidth="1" min="41" max="41"/>
    <col width="21" customWidth="1" min="42" max="42"/>
    <col width="21" customWidth="1" min="43" max="43"/>
    <col width="21" customWidth="1" min="44" max="44"/>
    <col width="21" customWidth="1" min="45" max="45"/>
    <col width="21" customWidth="1" min="46" max="46"/>
    <col width="21" customWidth="1" min="47" max="47"/>
    <col width="21" customWidth="1" min="48" max="48"/>
    <col width="21" customWidth="1" min="49" max="49"/>
    <col width="21" customWidth="1" min="50" max="50"/>
    <col width="21" customWidth="1" min="51" max="51"/>
    <col width="21" customWidth="1" min="52" max="52"/>
    <col width="21" customWidth="1" min="53" max="53"/>
    <col width="21" customWidth="1" min="54" max="54"/>
    <col width="21" customWidth="1" min="55" max="55"/>
    <col width="21" customWidth="1" min="56" max="56"/>
    <col width="21" customWidth="1" min="57" max="57"/>
    <col width="21" customWidth="1" min="58" max="58"/>
    <col width="21" customWidth="1" min="59" max="59"/>
    <col width="21" customWidth="1" min="60" max="60"/>
    <col width="21" customWidth="1" min="61" max="61"/>
    <col width="21" customWidth="1" min="62" max="62"/>
    <col width="21" customWidth="1" min="63" max="63"/>
    <col width="21" customWidth="1" min="64" max="64"/>
    <col width="21" customWidth="1" min="65" max="65"/>
    <col width="21" customWidth="1" min="66" max="66"/>
    <col width="21" customWidth="1" min="67" max="67"/>
    <col width="21" customWidth="1" min="68" max="68"/>
    <col width="21" customWidth="1" min="69" max="69"/>
    <col width="21" customWidth="1" min="70" max="70"/>
    <col width="21" customWidth="1" min="71" max="71"/>
    <col width="21" customWidth="1" min="72" max="72"/>
    <col width="21" customWidth="1" min="73" max="73"/>
    <col width="21" customWidth="1" min="74" max="74"/>
    <col width="21" customWidth="1" min="75" max="75"/>
    <col width="21" customWidth="1" min="76" max="76"/>
    <col width="21" customWidth="1" min="77" max="77"/>
    <col width="21" customWidth="1" min="78" max="78"/>
    <col width="21" customWidth="1" min="79" max="79"/>
    <col width="21" customWidth="1" min="80" max="80"/>
    <col width="21" customWidth="1" min="81" max="81"/>
    <col width="21" customWidth="1" min="82" max="82"/>
    <col width="21" customWidth="1" min="83" max="83"/>
    <col width="21" customWidth="1" min="84" max="84"/>
    <col width="21" customWidth="1" min="85" max="85"/>
    <col width="21" customWidth="1" min="86" max="86"/>
    <col width="21" customWidth="1" min="87" max="87"/>
    <col width="21" customWidth="1" min="88" max="88"/>
    <col width="21" customWidth="1" min="89" max="89"/>
    <col width="21" customWidth="1" min="90" max="90"/>
  </cols>
  <sheetData>
    <row r="3">
      <c r="B3" s="1" t="inlineStr">
        <is>
          <t>Custom Evaluation</t>
        </is>
      </c>
      <c r="C3" s="2" t="n"/>
      <c r="D3" t="inlineStr"/>
      <c r="E3" t="inlineStr"/>
      <c r="F3" t="inlineStr"/>
      <c r="G3" t="inlineStr"/>
      <c r="H3" t="inlineStr"/>
      <c r="I3" t="inlineStr"/>
      <c r="J3" t="inlineStr"/>
      <c r="K3" t="inlineStr"/>
      <c r="L3" t="inlineStr"/>
      <c r="M3" t="inlineStr"/>
      <c r="N3" t="inlineStr"/>
      <c r="O3" t="inlineStr"/>
      <c r="P3" t="inlineStr"/>
      <c r="Q3" t="inlineStr"/>
      <c r="R3" t="inlineStr"/>
      <c r="S3" t="inlineStr"/>
      <c r="T3" t="inlineStr"/>
      <c r="U3" t="inlineStr"/>
      <c r="V3" t="inlineStr"/>
      <c r="W3" t="inlineStr"/>
      <c r="X3" t="inlineStr"/>
      <c r="Y3" t="inlineStr"/>
      <c r="Z3" t="inlineStr"/>
      <c r="AA3" t="inlineStr"/>
      <c r="AB3" t="inlineStr"/>
      <c r="AC3" t="inlineStr"/>
      <c r="AD3" t="inlineStr"/>
      <c r="AE3" t="inlineStr"/>
      <c r="AF3" t="inlineStr"/>
      <c r="AG3" t="inlineStr"/>
      <c r="AH3" t="inlineStr"/>
      <c r="AI3" t="inlineStr"/>
      <c r="AJ3" t="inlineStr"/>
      <c r="AK3" t="inlineStr"/>
      <c r="AL3" t="inlineStr"/>
      <c r="AM3" t="inlineStr"/>
      <c r="AN3" t="inlineStr"/>
      <c r="AO3" t="inlineStr"/>
      <c r="AP3" t="inlineStr"/>
      <c r="AQ3" t="inlineStr"/>
      <c r="AR3" t="inlineStr"/>
      <c r="AS3" t="inlineStr"/>
      <c r="AT3" t="inlineStr"/>
      <c r="AU3" t="inlineStr"/>
      <c r="AV3" t="inlineStr"/>
      <c r="AW3" t="inlineStr"/>
      <c r="AX3" t="inlineStr"/>
      <c r="AY3" t="inlineStr"/>
      <c r="AZ3" t="inlineStr"/>
      <c r="BA3" t="inlineStr"/>
      <c r="BB3" t="inlineStr"/>
      <c r="BC3" t="inlineStr"/>
      <c r="BD3" t="inlineStr"/>
      <c r="BE3" t="inlineStr"/>
      <c r="BF3" t="inlineStr"/>
      <c r="BG3" t="inlineStr"/>
      <c r="BH3" t="inlineStr"/>
      <c r="BI3" t="inlineStr"/>
      <c r="BJ3" t="inlineStr"/>
      <c r="BK3" t="inlineStr"/>
      <c r="BL3" t="inlineStr"/>
      <c r="BM3" t="inlineStr"/>
      <c r="BN3" t="inlineStr"/>
      <c r="BO3" t="inlineStr"/>
      <c r="BP3" t="inlineStr"/>
      <c r="BQ3" t="inlineStr"/>
      <c r="BR3" t="inlineStr"/>
      <c r="BS3" t="inlineStr"/>
      <c r="BT3" t="inlineStr"/>
      <c r="BU3" t="inlineStr"/>
      <c r="BV3" t="inlineStr"/>
      <c r="BW3" t="inlineStr"/>
      <c r="BX3" t="inlineStr"/>
      <c r="BY3" t="inlineStr"/>
      <c r="BZ3" t="inlineStr"/>
      <c r="CA3" t="inlineStr"/>
      <c r="CB3" t="inlineStr"/>
      <c r="CC3" t="inlineStr"/>
      <c r="CD3" t="inlineStr"/>
      <c r="CE3" t="inlineStr"/>
      <c r="CF3" t="inlineStr"/>
      <c r="CG3" t="inlineStr"/>
      <c r="CH3" t="inlineStr"/>
      <c r="CI3" t="inlineStr"/>
      <c r="CJ3" t="inlineStr"/>
      <c r="CK3" t="inlineStr"/>
      <c r="CL3" t="inlineStr"/>
      <c r="CM3" t="inlineStr"/>
    </row>
    <row r="4">
      <c r="B4" s="3" t="n"/>
      <c r="C4" s="4" t="n"/>
      <c r="D4" t="inlineStr"/>
      <c r="E4" t="inlineStr"/>
      <c r="F4" t="inlineStr"/>
      <c r="G4" t="inlineStr"/>
      <c r="H4" t="inlineStr"/>
      <c r="I4" t="inlineStr"/>
      <c r="J4" t="inlineStr"/>
      <c r="K4" t="inlineStr"/>
      <c r="L4" t="inlineStr"/>
      <c r="M4" t="inlineStr"/>
      <c r="N4" t="inlineStr"/>
      <c r="O4" t="inlineStr"/>
      <c r="P4" t="inlineStr"/>
      <c r="Q4" t="inlineStr"/>
      <c r="R4" t="inlineStr"/>
      <c r="S4" t="inlineStr"/>
      <c r="T4" t="inlineStr"/>
      <c r="U4" t="inlineStr"/>
      <c r="V4" t="inlineStr"/>
      <c r="W4" t="inlineStr"/>
      <c r="X4" t="inlineStr"/>
      <c r="Y4" t="inlineStr"/>
      <c r="Z4" t="inlineStr"/>
      <c r="AA4" t="inlineStr"/>
      <c r="AB4" t="inlineStr"/>
      <c r="AC4" t="inlineStr"/>
      <c r="AD4" t="inlineStr"/>
      <c r="AE4" t="inlineStr"/>
      <c r="AF4" t="inlineStr"/>
      <c r="AG4" t="inlineStr"/>
      <c r="AH4" t="inlineStr"/>
      <c r="AI4" t="inlineStr"/>
      <c r="AJ4" t="inlineStr"/>
      <c r="AK4" t="inlineStr"/>
      <c r="AL4" t="inlineStr"/>
      <c r="AM4" t="inlineStr"/>
      <c r="AN4" t="inlineStr"/>
      <c r="AO4" t="inlineStr"/>
      <c r="AP4" t="inlineStr"/>
      <c r="AQ4" t="inlineStr"/>
      <c r="AR4" t="inlineStr"/>
      <c r="AS4" t="inlineStr"/>
      <c r="AT4" t="inlineStr"/>
      <c r="AU4" t="inlineStr"/>
      <c r="AV4" t="inlineStr"/>
      <c r="AW4" t="inlineStr"/>
      <c r="AX4" t="inlineStr"/>
      <c r="AY4" t="inlineStr"/>
      <c r="AZ4" t="inlineStr"/>
      <c r="BA4" t="inlineStr"/>
      <c r="BB4" t="inlineStr"/>
      <c r="BC4" t="inlineStr"/>
      <c r="BD4" t="inlineStr"/>
      <c r="BE4" t="inlineStr"/>
      <c r="BF4" t="inlineStr"/>
      <c r="BG4" t="inlineStr"/>
      <c r="BH4" t="inlineStr"/>
      <c r="BI4" t="inlineStr"/>
      <c r="BJ4" t="inlineStr"/>
      <c r="BK4" t="inlineStr"/>
      <c r="BL4" t="inlineStr"/>
      <c r="BM4" t="inlineStr"/>
      <c r="BN4" t="inlineStr"/>
      <c r="BO4" t="inlineStr"/>
      <c r="BP4" t="inlineStr"/>
      <c r="BQ4" t="inlineStr"/>
      <c r="BR4" t="inlineStr"/>
      <c r="BS4" t="inlineStr"/>
      <c r="BT4" t="inlineStr"/>
      <c r="BU4" t="inlineStr"/>
      <c r="BV4" t="inlineStr"/>
      <c r="BW4" t="inlineStr"/>
      <c r="BX4" t="inlineStr"/>
      <c r="BY4" t="inlineStr"/>
      <c r="BZ4" t="inlineStr"/>
      <c r="CA4" t="inlineStr"/>
      <c r="CB4" t="inlineStr"/>
      <c r="CC4" t="inlineStr"/>
      <c r="CD4" t="inlineStr"/>
      <c r="CE4" t="inlineStr"/>
      <c r="CF4" t="inlineStr"/>
      <c r="CG4" t="inlineStr"/>
      <c r="CH4" t="inlineStr"/>
      <c r="CI4" t="inlineStr"/>
      <c r="CJ4" t="inlineStr"/>
      <c r="CK4" t="inlineStr"/>
      <c r="CL4" t="inlineStr"/>
      <c r="CM4" t="inlineStr"/>
    </row>
    <row r="5">
      <c r="B5" t="inlineStr"/>
      <c r="C5" t="inlineStr"/>
      <c r="D5" t="inlineStr"/>
      <c r="E5" t="inlineStr"/>
      <c r="F5" t="inlineStr"/>
      <c r="G5" t="inlineStr"/>
      <c r="H5" t="inlineStr"/>
      <c r="I5" t="inlineStr"/>
      <c r="J5" t="inlineStr"/>
      <c r="K5" t="inlineStr"/>
      <c r="L5" t="inlineStr"/>
      <c r="M5" t="inlineStr"/>
      <c r="N5" t="inlineStr"/>
      <c r="O5" t="inlineStr"/>
      <c r="P5" t="inlineStr"/>
      <c r="Q5" t="inlineStr"/>
      <c r="R5" t="inlineStr"/>
      <c r="S5" t="inlineStr"/>
      <c r="T5" t="inlineStr"/>
      <c r="U5" t="inlineStr"/>
      <c r="V5" t="inlineStr"/>
      <c r="W5" t="inlineStr"/>
      <c r="X5" t="inlineStr"/>
      <c r="Y5" t="inlineStr"/>
      <c r="Z5" t="inlineStr"/>
      <c r="AA5" t="inlineStr"/>
      <c r="AB5" t="inlineStr"/>
      <c r="AC5" t="inlineStr"/>
      <c r="AD5" t="inlineStr"/>
      <c r="AE5" t="inlineStr"/>
      <c r="AF5" t="inlineStr"/>
      <c r="AG5" t="inlineStr"/>
      <c r="AH5" t="inlineStr"/>
      <c r="AI5" t="inlineStr"/>
      <c r="AJ5" t="inlineStr"/>
      <c r="AK5" t="inlineStr"/>
      <c r="AL5" t="inlineStr"/>
      <c r="AM5" t="inlineStr"/>
      <c r="AN5" t="inlineStr"/>
      <c r="AO5" t="inlineStr"/>
      <c r="AP5" t="inlineStr"/>
      <c r="AQ5" t="inlineStr"/>
      <c r="AR5" t="inlineStr"/>
      <c r="AS5" t="inlineStr"/>
      <c r="AT5" t="inlineStr"/>
      <c r="AU5" t="inlineStr"/>
      <c r="AV5" t="inlineStr"/>
      <c r="AW5" t="inlineStr"/>
      <c r="AX5" t="inlineStr"/>
      <c r="AY5" t="inlineStr"/>
      <c r="AZ5" t="inlineStr"/>
      <c r="BA5" t="inlineStr"/>
      <c r="BB5" t="inlineStr"/>
      <c r="BC5" t="inlineStr"/>
      <c r="BD5" t="inlineStr"/>
      <c r="BE5" t="inlineStr"/>
      <c r="BF5" t="inlineStr"/>
      <c r="BG5" t="inlineStr"/>
      <c r="BH5" t="inlineStr"/>
      <c r="BI5" t="inlineStr"/>
      <c r="BJ5" t="inlineStr"/>
      <c r="BK5" t="inlineStr"/>
      <c r="BL5" t="inlineStr"/>
      <c r="BM5" t="inlineStr"/>
      <c r="BN5" t="inlineStr"/>
      <c r="BO5" t="inlineStr"/>
      <c r="BP5" t="inlineStr"/>
      <c r="BQ5" t="inlineStr"/>
      <c r="BR5" t="inlineStr"/>
      <c r="BS5" t="inlineStr"/>
      <c r="BT5" t="inlineStr"/>
      <c r="BU5" t="inlineStr"/>
      <c r="BV5" t="inlineStr"/>
      <c r="BW5" t="inlineStr"/>
      <c r="BX5" t="inlineStr"/>
      <c r="BY5" t="inlineStr"/>
      <c r="BZ5" t="inlineStr"/>
      <c r="CA5" t="inlineStr"/>
      <c r="CB5" t="inlineStr"/>
      <c r="CC5" t="inlineStr"/>
      <c r="CD5" t="inlineStr"/>
      <c r="CE5" t="inlineStr"/>
      <c r="CF5" t="inlineStr"/>
      <c r="CG5" t="inlineStr"/>
      <c r="CH5" t="inlineStr"/>
      <c r="CI5" t="inlineStr"/>
      <c r="CJ5" t="inlineStr"/>
      <c r="CK5" t="inlineStr"/>
      <c r="CL5" t="inlineStr"/>
      <c r="CM5" t="inlineStr"/>
    </row>
    <row r="6">
      <c r="B6" t="inlineStr">
        <is>
          <t>Evaluation Assumptions</t>
        </is>
      </c>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c r="AX6" t="inlineStr"/>
      <c r="AY6" t="inlineStr"/>
      <c r="AZ6" t="inlineStr"/>
      <c r="BA6" t="inlineStr"/>
      <c r="BB6" t="inlineStr"/>
      <c r="BC6" t="inlineStr"/>
      <c r="BD6" t="inlineStr"/>
      <c r="BE6" t="inlineStr"/>
      <c r="BF6" t="inlineStr"/>
      <c r="BG6" t="inlineStr"/>
      <c r="BH6" t="inlineStr"/>
      <c r="BI6" t="inlineStr"/>
      <c r="BJ6" t="inlineStr"/>
      <c r="BK6" t="inlineStr"/>
      <c r="BL6" t="inlineStr"/>
      <c r="BM6" t="inlineStr"/>
      <c r="BN6" t="inlineStr"/>
      <c r="BO6" t="inlineStr"/>
      <c r="BP6" t="inlineStr"/>
      <c r="BQ6" t="inlineStr"/>
      <c r="BR6" t="inlineStr"/>
      <c r="BS6" t="inlineStr"/>
      <c r="BT6" t="inlineStr"/>
      <c r="BU6" t="inlineStr"/>
      <c r="BV6" t="inlineStr"/>
      <c r="BW6" t="inlineStr"/>
      <c r="BX6" t="inlineStr"/>
      <c r="BY6" t="inlineStr"/>
      <c r="BZ6" t="inlineStr"/>
      <c r="CA6" t="inlineStr"/>
      <c r="CB6" t="inlineStr"/>
      <c r="CC6" t="inlineStr"/>
      <c r="CD6" t="inlineStr"/>
      <c r="CE6" t="inlineStr"/>
      <c r="CF6" t="inlineStr"/>
      <c r="CG6" t="inlineStr"/>
      <c r="CH6" t="inlineStr"/>
      <c r="CI6" t="inlineStr"/>
      <c r="CJ6" t="inlineStr"/>
      <c r="CK6" t="inlineStr"/>
      <c r="CL6" t="inlineStr"/>
      <c r="CM6" t="inlineStr"/>
    </row>
    <row r="7">
      <c r="B7" s="5" t="inlineStr">
        <is>
          <t>Metric</t>
        </is>
      </c>
      <c r="C7" s="5" t="inlineStr">
        <is>
          <t>Rapid Growth Period</t>
        </is>
      </c>
      <c r="D7" s="5" t="inlineStr">
        <is>
          <t>Forecast Period</t>
        </is>
      </c>
      <c r="E7" s="5" t="inlineStr">
        <is>
          <t>Terminal Period</t>
        </is>
      </c>
      <c r="F7" t="inlineStr"/>
      <c r="G7" t="inlineStr"/>
      <c r="H7" t="inlineStr"/>
      <c r="I7" t="inlineStr"/>
      <c r="J7" t="inlineStr"/>
      <c r="K7" t="inlineStr"/>
      <c r="L7" t="inlineStr"/>
      <c r="M7" t="inlineStr"/>
      <c r="N7" t="inlineStr"/>
      <c r="O7" t="inlineStr"/>
      <c r="P7" t="inlineStr"/>
      <c r="Q7" t="inlineStr"/>
      <c r="R7" t="inlineStr"/>
      <c r="S7" t="inlineStr"/>
      <c r="T7" t="inlineStr"/>
      <c r="U7" t="inlineStr"/>
      <c r="V7" t="inlineStr"/>
      <c r="W7" t="inlineStr"/>
      <c r="X7" t="inlineStr"/>
      <c r="Y7" t="inlineStr"/>
      <c r="Z7" t="inlineStr"/>
      <c r="AA7" t="inlineStr"/>
      <c r="AB7" t="inlineStr"/>
      <c r="AC7" t="inlineStr"/>
      <c r="AD7" t="inlineStr"/>
      <c r="AE7" t="inlineStr"/>
      <c r="AF7" t="inlineStr"/>
      <c r="AG7" t="inlineStr"/>
      <c r="AH7" t="inlineStr"/>
      <c r="AI7" t="inlineStr"/>
      <c r="AJ7" t="inlineStr"/>
      <c r="AK7" t="inlineStr"/>
      <c r="AL7" t="inlineStr"/>
      <c r="AM7" t="inlineStr"/>
      <c r="AN7" t="inlineStr"/>
      <c r="AO7" t="inlineStr"/>
      <c r="AP7" t="inlineStr"/>
      <c r="AQ7" t="inlineStr"/>
      <c r="AR7" t="inlineStr"/>
      <c r="AS7" t="inlineStr"/>
      <c r="AT7" t="inlineStr"/>
      <c r="AU7" t="inlineStr"/>
      <c r="AV7" t="inlineStr"/>
      <c r="AW7" t="inlineStr"/>
      <c r="AX7" t="inlineStr"/>
      <c r="AY7" t="inlineStr"/>
      <c r="AZ7" t="inlineStr"/>
      <c r="BA7" t="inlineStr"/>
      <c r="BB7" t="inlineStr"/>
      <c r="BC7" t="inlineStr"/>
      <c r="BD7" t="inlineStr"/>
      <c r="BE7" t="inlineStr"/>
      <c r="BF7" t="inlineStr"/>
      <c r="BG7" t="inlineStr"/>
      <c r="BH7" t="inlineStr"/>
      <c r="BI7" t="inlineStr"/>
      <c r="BJ7" t="inlineStr"/>
      <c r="BK7" t="inlineStr"/>
      <c r="BL7" t="inlineStr"/>
      <c r="BM7" t="inlineStr"/>
      <c r="BN7" t="inlineStr"/>
      <c r="BO7" t="inlineStr"/>
      <c r="BP7" t="inlineStr"/>
      <c r="BQ7" t="inlineStr"/>
      <c r="BR7" t="inlineStr"/>
      <c r="BS7" t="inlineStr"/>
      <c r="BT7" t="inlineStr"/>
      <c r="BU7" t="inlineStr"/>
      <c r="BV7" t="inlineStr"/>
      <c r="BW7" t="inlineStr"/>
      <c r="BX7" t="inlineStr"/>
      <c r="BY7" t="inlineStr"/>
      <c r="BZ7" t="inlineStr"/>
      <c r="CA7" t="inlineStr"/>
      <c r="CB7" t="inlineStr"/>
      <c r="CC7" t="inlineStr"/>
      <c r="CD7" t="inlineStr"/>
      <c r="CE7" t="inlineStr"/>
      <c r="CF7" t="inlineStr"/>
      <c r="CG7" t="inlineStr"/>
      <c r="CH7" t="inlineStr"/>
      <c r="CI7" t="inlineStr"/>
      <c r="CJ7" t="inlineStr"/>
      <c r="CK7" t="inlineStr"/>
      <c r="CL7" t="inlineStr"/>
      <c r="CM7" t="inlineStr"/>
    </row>
    <row r="8">
      <c r="B8" s="6" t="inlineStr">
        <is>
          <t>Sales Growth</t>
        </is>
      </c>
      <c r="C8" s="7">
        <f>'Model_Assumptions'!C13</f>
        <v/>
      </c>
      <c r="D8" s="7">
        <f>'Model_Assumptions'!D13</f>
        <v/>
      </c>
      <c r="E8" s="7">
        <f>'Model_Assumptions'!E13</f>
        <v/>
      </c>
      <c r="F8" t="inlineStr"/>
      <c r="G8" t="inlineStr"/>
      <c r="H8" t="inlineStr"/>
      <c r="I8" t="inlineStr"/>
      <c r="J8" t="inlineStr"/>
      <c r="K8" t="inlineStr"/>
      <c r="L8" t="inlineStr"/>
      <c r="M8" t="inlineStr"/>
      <c r="N8" t="inlineStr"/>
      <c r="O8" t="inlineStr"/>
      <c r="P8" t="inlineStr"/>
      <c r="Q8" t="inlineStr"/>
      <c r="R8" t="inlineStr"/>
      <c r="S8" t="inlineStr"/>
      <c r="T8" t="inlineStr"/>
      <c r="U8" t="inlineStr"/>
      <c r="V8" t="inlineStr"/>
      <c r="W8" t="inlineStr"/>
      <c r="X8" t="inlineStr"/>
      <c r="Y8" t="inlineStr"/>
      <c r="Z8" t="inlineStr"/>
      <c r="AA8" t="inlineStr"/>
      <c r="AB8" t="inlineStr"/>
      <c r="AC8" t="inlineStr"/>
      <c r="AD8" t="inlineStr"/>
      <c r="AE8" t="inlineStr"/>
      <c r="AF8" t="inlineStr"/>
      <c r="AG8" t="inlineStr"/>
      <c r="AH8" t="inlineStr"/>
      <c r="AI8" t="inlineStr"/>
      <c r="AJ8" t="inlineStr"/>
      <c r="AK8" t="inlineStr"/>
      <c r="AL8" t="inlineStr"/>
      <c r="AM8" t="inlineStr"/>
      <c r="AN8" t="inlineStr"/>
      <c r="AO8" t="inlineStr"/>
      <c r="AP8" t="inlineStr"/>
      <c r="AQ8" t="inlineStr"/>
      <c r="AR8" t="inlineStr"/>
      <c r="AS8" t="inlineStr"/>
      <c r="AT8" t="inlineStr"/>
      <c r="AU8" t="inlineStr"/>
      <c r="AV8" t="inlineStr"/>
      <c r="AW8" t="inlineStr"/>
      <c r="AX8" t="inlineStr"/>
      <c r="AY8" t="inlineStr"/>
      <c r="AZ8" t="inlineStr"/>
      <c r="BA8" t="inlineStr"/>
      <c r="BB8" t="inlineStr"/>
      <c r="BC8" t="inlineStr"/>
      <c r="BD8" t="inlineStr"/>
      <c r="BE8" t="inlineStr"/>
      <c r="BF8" t="inlineStr"/>
      <c r="BG8" t="inlineStr"/>
      <c r="BH8" t="inlineStr"/>
      <c r="BI8" t="inlineStr"/>
      <c r="BJ8" t="inlineStr"/>
      <c r="BK8" t="inlineStr"/>
      <c r="BL8" t="inlineStr"/>
      <c r="BM8" t="inlineStr"/>
      <c r="BN8" t="inlineStr"/>
      <c r="BO8" t="inlineStr"/>
      <c r="BP8" t="inlineStr"/>
      <c r="BQ8" t="inlineStr"/>
      <c r="BR8" t="inlineStr"/>
      <c r="BS8" t="inlineStr"/>
      <c r="BT8" t="inlineStr"/>
      <c r="BU8" t="inlineStr"/>
      <c r="BV8" t="inlineStr"/>
      <c r="BW8" t="inlineStr"/>
      <c r="BX8" t="inlineStr"/>
      <c r="BY8" t="inlineStr"/>
      <c r="BZ8" t="inlineStr"/>
      <c r="CA8" t="inlineStr"/>
      <c r="CB8" t="inlineStr"/>
      <c r="CC8" t="inlineStr"/>
      <c r="CD8" t="inlineStr"/>
      <c r="CE8" t="inlineStr"/>
      <c r="CF8" t="inlineStr"/>
      <c r="CG8" t="inlineStr"/>
      <c r="CH8" t="inlineStr"/>
      <c r="CI8" t="inlineStr"/>
      <c r="CJ8" t="inlineStr"/>
      <c r="CK8" t="inlineStr"/>
      <c r="CL8" t="inlineStr"/>
      <c r="CM8" t="inlineStr"/>
    </row>
    <row r="9">
      <c r="B9" s="8" t="inlineStr">
        <is>
          <t>Effective Tax Rate</t>
        </is>
      </c>
      <c r="C9" s="9">
        <f>'Model_Assumptions'!C14</f>
        <v/>
      </c>
      <c r="D9" s="9">
        <f>'Model_Assumptions'!D14</f>
        <v/>
      </c>
      <c r="E9" s="9">
        <f>'Model_Assumptions'!E14</f>
        <v/>
      </c>
      <c r="F9" t="inlineStr"/>
      <c r="G9" t="inlineStr"/>
      <c r="H9" t="inlineStr"/>
      <c r="I9" t="inlineStr"/>
      <c r="J9" t="inlineStr"/>
      <c r="K9" t="inlineStr"/>
      <c r="L9" t="inlineStr"/>
      <c r="M9" t="inlineStr"/>
      <c r="N9" t="inlineStr"/>
      <c r="O9" t="inlineStr"/>
      <c r="P9" t="inlineStr"/>
      <c r="Q9" t="inlineStr"/>
      <c r="R9" t="inlineStr"/>
      <c r="S9" t="inlineStr"/>
      <c r="T9" t="inlineStr"/>
      <c r="U9" t="inlineStr"/>
      <c r="V9" t="inlineStr"/>
      <c r="W9" t="inlineStr"/>
      <c r="X9" t="inlineStr"/>
      <c r="Y9" t="inlineStr"/>
      <c r="Z9" t="inlineStr"/>
      <c r="AA9" t="inlineStr"/>
      <c r="AB9" t="inlineStr"/>
      <c r="AC9" t="inlineStr"/>
      <c r="AD9" t="inlineStr"/>
      <c r="AE9" t="inlineStr"/>
      <c r="AF9" t="inlineStr"/>
      <c r="AG9" t="inlineStr"/>
      <c r="AH9" t="inlineStr"/>
      <c r="AI9" t="inlineStr"/>
      <c r="AJ9" t="inlineStr"/>
      <c r="AK9" t="inlineStr"/>
      <c r="AL9" t="inlineStr"/>
      <c r="AM9" t="inlineStr"/>
      <c r="AN9" t="inlineStr"/>
      <c r="AO9" t="inlineStr"/>
      <c r="AP9" t="inlineStr"/>
      <c r="AQ9" t="inlineStr"/>
      <c r="AR9" t="inlineStr"/>
      <c r="AS9" t="inlineStr"/>
      <c r="AT9" t="inlineStr"/>
      <c r="AU9" t="inlineStr"/>
      <c r="AV9" t="inlineStr"/>
      <c r="AW9" t="inlineStr"/>
      <c r="AX9" t="inlineStr"/>
      <c r="AY9" t="inlineStr"/>
      <c r="AZ9" t="inlineStr"/>
      <c r="BA9" t="inlineStr"/>
      <c r="BB9" t="inlineStr"/>
      <c r="BC9" t="inlineStr"/>
      <c r="BD9" t="inlineStr"/>
      <c r="BE9" t="inlineStr"/>
      <c r="BF9" t="inlineStr"/>
      <c r="BG9" t="inlineStr"/>
      <c r="BH9" t="inlineStr"/>
      <c r="BI9" t="inlineStr"/>
      <c r="BJ9" t="inlineStr"/>
      <c r="BK9" t="inlineStr"/>
      <c r="BL9" t="inlineStr"/>
      <c r="BM9" t="inlineStr"/>
      <c r="BN9" t="inlineStr"/>
      <c r="BO9" t="inlineStr"/>
      <c r="BP9" t="inlineStr"/>
      <c r="BQ9" t="inlineStr"/>
      <c r="BR9" t="inlineStr"/>
      <c r="BS9" t="inlineStr"/>
      <c r="BT9" t="inlineStr"/>
      <c r="BU9" t="inlineStr"/>
      <c r="BV9" t="inlineStr"/>
      <c r="BW9" t="inlineStr"/>
      <c r="BX9" t="inlineStr"/>
      <c r="BY9" t="inlineStr"/>
      <c r="BZ9" t="inlineStr"/>
      <c r="CA9" t="inlineStr"/>
      <c r="CB9" t="inlineStr"/>
      <c r="CC9" t="inlineStr"/>
      <c r="CD9" t="inlineStr"/>
      <c r="CE9" t="inlineStr"/>
      <c r="CF9" t="inlineStr"/>
      <c r="CG9" t="inlineStr"/>
      <c r="CH9" t="inlineStr"/>
      <c r="CI9" t="inlineStr"/>
      <c r="CJ9" t="inlineStr"/>
      <c r="CK9" t="inlineStr"/>
      <c r="CL9" t="inlineStr"/>
      <c r="CM9" t="inlineStr"/>
    </row>
    <row r="10">
      <c r="B10" s="8" t="inlineStr">
        <is>
          <t>EBITDA : Revenue (%)</t>
        </is>
      </c>
      <c r="C10" s="9">
        <f>'Model_Assumptions'!C15</f>
        <v/>
      </c>
      <c r="D10" s="9">
        <f>'Model_Assumptions'!D15</f>
        <v/>
      </c>
      <c r="E10" s="9">
        <f>'Model_Assumptions'!E15</f>
        <v/>
      </c>
      <c r="F10" t="inlineStr"/>
      <c r="G10" t="inlineStr"/>
      <c r="H10" t="inlineStr"/>
      <c r="I10" t="inlineStr"/>
      <c r="J10" t="inlineStr"/>
      <c r="K10" t="inlineStr"/>
      <c r="L10" t="inlineStr"/>
      <c r="M10" t="inlineStr"/>
      <c r="N10" t="inlineStr"/>
      <c r="O10" t="inlineStr"/>
      <c r="P10" t="inlineStr"/>
      <c r="Q10" t="inlineStr"/>
      <c r="R10" t="inlineStr"/>
      <c r="S10" t="inlineStr"/>
      <c r="T10" t="inlineStr"/>
      <c r="U10" t="inlineStr"/>
      <c r="V10" t="inlineStr"/>
      <c r="W10" t="inlineStr"/>
      <c r="X10" t="inlineStr"/>
      <c r="Y10" t="inlineStr"/>
      <c r="Z10" t="inlineStr"/>
      <c r="AA10" t="inlineStr"/>
      <c r="AB10" t="inlineStr"/>
      <c r="AC10" t="inlineStr"/>
      <c r="AD10" t="inlineStr"/>
      <c r="AE10" t="inlineStr"/>
      <c r="AF10" t="inlineStr"/>
      <c r="AG10" t="inlineStr"/>
      <c r="AH10" t="inlineStr"/>
      <c r="AI10" t="inlineStr"/>
      <c r="AJ10" t="inlineStr"/>
      <c r="AK10" t="inlineStr"/>
      <c r="AL10" t="inlineStr"/>
      <c r="AM10" t="inlineStr"/>
      <c r="AN10" t="inlineStr"/>
      <c r="AO10" t="inlineStr"/>
      <c r="AP10" t="inlineStr"/>
      <c r="AQ10" t="inlineStr"/>
      <c r="AR10" t="inlineStr"/>
      <c r="AS10" t="inlineStr"/>
      <c r="AT10" t="inlineStr"/>
      <c r="AU10" t="inlineStr"/>
      <c r="AV10" t="inlineStr"/>
      <c r="AW10" t="inlineStr"/>
      <c r="AX10" t="inlineStr"/>
      <c r="AY10" t="inlineStr"/>
      <c r="AZ10" t="inlineStr"/>
      <c r="BA10" t="inlineStr"/>
      <c r="BB10" t="inlineStr"/>
      <c r="BC10" t="inlineStr"/>
      <c r="BD10" t="inlineStr"/>
      <c r="BE10" t="inlineStr"/>
      <c r="BF10" t="inlineStr"/>
      <c r="BG10" t="inlineStr"/>
      <c r="BH10" t="inlineStr"/>
      <c r="BI10" t="inlineStr"/>
      <c r="BJ10" t="inlineStr"/>
      <c r="BK10" t="inlineStr"/>
      <c r="BL10" t="inlineStr"/>
      <c r="BM10" t="inlineStr"/>
      <c r="BN10" t="inlineStr"/>
      <c r="BO10" t="inlineStr"/>
      <c r="BP10" t="inlineStr"/>
      <c r="BQ10" t="inlineStr"/>
      <c r="BR10" t="inlineStr"/>
      <c r="BS10" t="inlineStr"/>
      <c r="BT10" t="inlineStr"/>
      <c r="BU10" t="inlineStr"/>
      <c r="BV10" t="inlineStr"/>
      <c r="BW10" t="inlineStr"/>
      <c r="BX10" t="inlineStr"/>
      <c r="BY10" t="inlineStr"/>
      <c r="BZ10" t="inlineStr"/>
      <c r="CA10" t="inlineStr"/>
      <c r="CB10" t="inlineStr"/>
      <c r="CC10" t="inlineStr"/>
      <c r="CD10" t="inlineStr"/>
      <c r="CE10" t="inlineStr"/>
      <c r="CF10" t="inlineStr"/>
      <c r="CG10" t="inlineStr"/>
      <c r="CH10" t="inlineStr"/>
      <c r="CI10" t="inlineStr"/>
      <c r="CJ10" t="inlineStr"/>
      <c r="CK10" t="inlineStr"/>
      <c r="CL10" t="inlineStr"/>
      <c r="CM10" t="inlineStr"/>
    </row>
    <row r="11">
      <c r="B11" s="8" t="inlineStr">
        <is>
          <t>Depreciaiton : Revenue (%)</t>
        </is>
      </c>
      <c r="C11" s="9">
        <f>'Model_Assumptions'!C16</f>
        <v/>
      </c>
      <c r="D11" s="9">
        <f>'Model_Assumptions'!D16</f>
        <v/>
      </c>
      <c r="E11" s="9">
        <f>'Model_Assumptions'!E16</f>
        <v/>
      </c>
      <c r="F11" t="inlineStr"/>
      <c r="G11" t="inlineStr"/>
      <c r="H11" t="inlineStr"/>
      <c r="I11" t="inlineStr"/>
      <c r="J11" t="inlineStr"/>
      <c r="K11" t="inlineStr"/>
      <c r="L11" t="inlineStr"/>
      <c r="M11" t="inlineStr"/>
      <c r="N11" t="inlineStr"/>
      <c r="O11" t="inlineStr"/>
      <c r="P11" t="inlineStr"/>
      <c r="Q11" t="inlineStr"/>
      <c r="R11" t="inlineStr"/>
      <c r="S11" t="inlineStr"/>
      <c r="T11" t="inlineStr"/>
      <c r="U11" t="inlineStr"/>
      <c r="V11" t="inlineStr"/>
      <c r="W11" t="inlineStr"/>
      <c r="X11" t="inlineStr"/>
      <c r="Y11" t="inlineStr"/>
      <c r="Z11" t="inlineStr"/>
      <c r="AA11" t="inlineStr"/>
      <c r="AB11" t="inlineStr"/>
      <c r="AC11" t="inlineStr"/>
      <c r="AD11" t="inlineStr"/>
      <c r="AE11" t="inlineStr"/>
      <c r="AF11" t="inlineStr"/>
      <c r="AG11" t="inlineStr"/>
      <c r="AH11" t="inlineStr"/>
      <c r="AI11" t="inlineStr"/>
      <c r="AJ11" t="inlineStr"/>
      <c r="AK11" t="inlineStr"/>
      <c r="AL11" t="inlineStr"/>
      <c r="AM11" t="inlineStr"/>
      <c r="AN11" t="inlineStr"/>
      <c r="AO11" t="inlineStr"/>
      <c r="AP11" t="inlineStr"/>
      <c r="AQ11" t="inlineStr"/>
      <c r="AR11" t="inlineStr"/>
      <c r="AS11" t="inlineStr"/>
      <c r="AT11" t="inlineStr"/>
      <c r="AU11" t="inlineStr"/>
      <c r="AV11" t="inlineStr"/>
      <c r="AW11" t="inlineStr"/>
      <c r="AX11" t="inlineStr"/>
      <c r="AY11" t="inlineStr"/>
      <c r="AZ11" t="inlineStr"/>
      <c r="BA11" t="inlineStr"/>
      <c r="BB11" t="inlineStr"/>
      <c r="BC11" t="inlineStr"/>
      <c r="BD11" t="inlineStr"/>
      <c r="BE11" t="inlineStr"/>
      <c r="BF11" t="inlineStr"/>
      <c r="BG11" t="inlineStr"/>
      <c r="BH11" t="inlineStr"/>
      <c r="BI11" t="inlineStr"/>
      <c r="BJ11" t="inlineStr"/>
      <c r="BK11" t="inlineStr"/>
      <c r="BL11" t="inlineStr"/>
      <c r="BM11" t="inlineStr"/>
      <c r="BN11" t="inlineStr"/>
      <c r="BO11" t="inlineStr"/>
      <c r="BP11" t="inlineStr"/>
      <c r="BQ11" t="inlineStr"/>
      <c r="BR11" t="inlineStr"/>
      <c r="BS11" t="inlineStr"/>
      <c r="BT11" t="inlineStr"/>
      <c r="BU11" t="inlineStr"/>
      <c r="BV11" t="inlineStr"/>
      <c r="BW11" t="inlineStr"/>
      <c r="BX11" t="inlineStr"/>
      <c r="BY11" t="inlineStr"/>
      <c r="BZ11" t="inlineStr"/>
      <c r="CA11" t="inlineStr"/>
      <c r="CB11" t="inlineStr"/>
      <c r="CC11" t="inlineStr"/>
      <c r="CD11" t="inlineStr"/>
      <c r="CE11" t="inlineStr"/>
      <c r="CF11" t="inlineStr"/>
      <c r="CG11" t="inlineStr"/>
      <c r="CH11" t="inlineStr"/>
      <c r="CI11" t="inlineStr"/>
      <c r="CJ11" t="inlineStr"/>
      <c r="CK11" t="inlineStr"/>
      <c r="CL11" t="inlineStr"/>
      <c r="CM11" t="inlineStr"/>
    </row>
    <row r="12">
      <c r="B12" s="8" t="inlineStr">
        <is>
          <t>Working Capital : Revenue (%)</t>
        </is>
      </c>
      <c r="C12" s="9">
        <f>'Model_Assumptions'!C17</f>
        <v/>
      </c>
      <c r="D12" s="9">
        <f>'Model_Assumptions'!D17</f>
        <v/>
      </c>
      <c r="E12" s="9">
        <f>'Model_Assumptions'!E17</f>
        <v/>
      </c>
      <c r="F12" t="inlineStr"/>
      <c r="G12" t="inlineStr"/>
      <c r="H12" t="inlineStr"/>
      <c r="I12" t="inlineStr"/>
      <c r="J12" t="inlineStr"/>
      <c r="K12" t="inlineStr"/>
      <c r="L12" t="inlineStr"/>
      <c r="M12" t="inlineStr"/>
      <c r="N12" t="inlineStr"/>
      <c r="O12" t="inlineStr"/>
      <c r="P12" t="inlineStr"/>
      <c r="Q12" t="inlineStr"/>
      <c r="R12" t="inlineStr"/>
      <c r="S12" t="inlineStr"/>
      <c r="T12" t="inlineStr"/>
      <c r="U12" t="inlineStr"/>
      <c r="V12" t="inlineStr"/>
      <c r="W12" t="inlineStr"/>
      <c r="X12" t="inlineStr"/>
      <c r="Y12" t="inlineStr"/>
      <c r="Z12" t="inlineStr"/>
      <c r="AA12" t="inlineStr"/>
      <c r="AB12" t="inlineStr"/>
      <c r="AC12" t="inlineStr"/>
      <c r="AD12" t="inlineStr"/>
      <c r="AE12" t="inlineStr"/>
      <c r="AF12" t="inlineStr"/>
      <c r="AG12" t="inlineStr"/>
      <c r="AH12" t="inlineStr"/>
      <c r="AI12" t="inlineStr"/>
      <c r="AJ12" t="inlineStr"/>
      <c r="AK12" t="inlineStr"/>
      <c r="AL12" t="inlineStr"/>
      <c r="AM12" t="inlineStr"/>
      <c r="AN12" t="inlineStr"/>
      <c r="AO12" t="inlineStr"/>
      <c r="AP12" t="inlineStr"/>
      <c r="AQ12" t="inlineStr"/>
      <c r="AR12" t="inlineStr"/>
      <c r="AS12" t="inlineStr"/>
      <c r="AT12" t="inlineStr"/>
      <c r="AU12" t="inlineStr"/>
      <c r="AV12" t="inlineStr"/>
      <c r="AW12" t="inlineStr"/>
      <c r="AX12" t="inlineStr"/>
      <c r="AY12" t="inlineStr"/>
      <c r="AZ12" t="inlineStr"/>
      <c r="BA12" t="inlineStr"/>
      <c r="BB12" t="inlineStr"/>
      <c r="BC12" t="inlineStr"/>
      <c r="BD12" t="inlineStr"/>
      <c r="BE12" t="inlineStr"/>
      <c r="BF12" t="inlineStr"/>
      <c r="BG12" t="inlineStr"/>
      <c r="BH12" t="inlineStr"/>
      <c r="BI12" t="inlineStr"/>
      <c r="BJ12" t="inlineStr"/>
      <c r="BK12" t="inlineStr"/>
      <c r="BL12" t="inlineStr"/>
      <c r="BM12" t="inlineStr"/>
      <c r="BN12" t="inlineStr"/>
      <c r="BO12" t="inlineStr"/>
      <c r="BP12" t="inlineStr"/>
      <c r="BQ12" t="inlineStr"/>
      <c r="BR12" t="inlineStr"/>
      <c r="BS12" t="inlineStr"/>
      <c r="BT12" t="inlineStr"/>
      <c r="BU12" t="inlineStr"/>
      <c r="BV12" t="inlineStr"/>
      <c r="BW12" t="inlineStr"/>
      <c r="BX12" t="inlineStr"/>
      <c r="BY12" t="inlineStr"/>
      <c r="BZ12" t="inlineStr"/>
      <c r="CA12" t="inlineStr"/>
      <c r="CB12" t="inlineStr"/>
      <c r="CC12" t="inlineStr"/>
      <c r="CD12" t="inlineStr"/>
      <c r="CE12" t="inlineStr"/>
      <c r="CF12" t="inlineStr"/>
      <c r="CG12" t="inlineStr"/>
      <c r="CH12" t="inlineStr"/>
      <c r="CI12" t="inlineStr"/>
      <c r="CJ12" t="inlineStr"/>
      <c r="CK12" t="inlineStr"/>
      <c r="CL12" t="inlineStr"/>
      <c r="CM12" t="inlineStr"/>
    </row>
    <row r="13">
      <c r="B13" s="10" t="inlineStr">
        <is>
          <t>CAPEX : Revenue (%)</t>
        </is>
      </c>
      <c r="C13" s="11">
        <f>'Model_Assumptions'!C18</f>
        <v/>
      </c>
      <c r="D13" s="11">
        <f>'Model_Assumptions'!D18</f>
        <v/>
      </c>
      <c r="E13" s="11">
        <f>'Model_Assumptions'!E18</f>
        <v/>
      </c>
      <c r="F13" t="inlineStr"/>
      <c r="G13" t="inlineStr"/>
      <c r="H13" t="inlineStr"/>
      <c r="I13" t="inlineStr"/>
      <c r="J13" t="inlineStr"/>
      <c r="K13" t="inlineStr"/>
      <c r="L13" t="inlineStr"/>
      <c r="M13" t="inlineStr"/>
      <c r="N13" t="inlineStr"/>
      <c r="O13" t="inlineStr"/>
      <c r="P13" t="inlineStr"/>
      <c r="Q13" t="inlineStr"/>
      <c r="R13" t="inlineStr"/>
      <c r="S13" t="inlineStr"/>
      <c r="T13" t="inlineStr"/>
      <c r="U13" t="inlineStr"/>
      <c r="V13" t="inlineStr"/>
      <c r="W13" t="inlineStr"/>
      <c r="X13" t="inlineStr"/>
      <c r="Y13" t="inlineStr"/>
      <c r="Z13" t="inlineStr"/>
      <c r="AA13" t="inlineStr"/>
      <c r="AB13" t="inlineStr"/>
      <c r="AC13" t="inlineStr"/>
      <c r="AD13" t="inlineStr"/>
      <c r="AE13" t="inlineStr"/>
      <c r="AF13" t="inlineStr"/>
      <c r="AG13" t="inlineStr"/>
      <c r="AH13" t="inlineStr"/>
      <c r="AI13" t="inlineStr"/>
      <c r="AJ13" t="inlineStr"/>
      <c r="AK13" t="inlineStr"/>
      <c r="AL13" t="inlineStr"/>
      <c r="AM13" t="inlineStr"/>
      <c r="AN13" t="inlineStr"/>
      <c r="AO13" t="inlineStr"/>
      <c r="AP13" t="inlineStr"/>
      <c r="AQ13" t="inlineStr"/>
      <c r="AR13" t="inlineStr"/>
      <c r="AS13" t="inlineStr"/>
      <c r="AT13" t="inlineStr"/>
      <c r="AU13" t="inlineStr"/>
      <c r="AV13" t="inlineStr"/>
      <c r="AW13" t="inlineStr"/>
      <c r="AX13" t="inlineStr"/>
      <c r="AY13" t="inlineStr"/>
      <c r="AZ13" t="inlineStr"/>
      <c r="BA13" t="inlineStr"/>
      <c r="BB13" t="inlineStr"/>
      <c r="BC13" t="inlineStr"/>
      <c r="BD13" t="inlineStr"/>
      <c r="BE13" t="inlineStr"/>
      <c r="BF13" t="inlineStr"/>
      <c r="BG13" t="inlineStr"/>
      <c r="BH13" t="inlineStr"/>
      <c r="BI13" t="inlineStr"/>
      <c r="BJ13" t="inlineStr"/>
      <c r="BK13" t="inlineStr"/>
      <c r="BL13" t="inlineStr"/>
      <c r="BM13" t="inlineStr"/>
      <c r="BN13" t="inlineStr"/>
      <c r="BO13" t="inlineStr"/>
      <c r="BP13" t="inlineStr"/>
      <c r="BQ13" t="inlineStr"/>
      <c r="BR13" t="inlineStr"/>
      <c r="BS13" t="inlineStr"/>
      <c r="BT13" t="inlineStr"/>
      <c r="BU13" t="inlineStr"/>
      <c r="BV13" t="inlineStr"/>
      <c r="BW13" t="inlineStr"/>
      <c r="BX13" t="inlineStr"/>
      <c r="BY13" t="inlineStr"/>
      <c r="BZ13" t="inlineStr"/>
      <c r="CA13" t="inlineStr"/>
      <c r="CB13" t="inlineStr"/>
      <c r="CC13" t="inlineStr"/>
      <c r="CD13" t="inlineStr"/>
      <c r="CE13" t="inlineStr"/>
      <c r="CF13" t="inlineStr"/>
      <c r="CG13" t="inlineStr"/>
      <c r="CH13" t="inlineStr"/>
      <c r="CI13" t="inlineStr"/>
      <c r="CJ13" t="inlineStr"/>
      <c r="CK13" t="inlineStr"/>
      <c r="CL13" t="inlineStr"/>
      <c r="CM13" t="inlineStr"/>
    </row>
    <row r="14">
      <c r="B14" t="inlineStr"/>
      <c r="C14" t="inlineStr"/>
      <c r="D14" t="inlineStr"/>
      <c r="E14" t="inlineStr"/>
      <c r="F14" t="inlineStr"/>
      <c r="G14" t="inlineStr"/>
      <c r="H14" t="inlineStr"/>
      <c r="I14" t="inlineStr"/>
      <c r="J14" t="inlineStr"/>
      <c r="K14" t="inlineStr"/>
      <c r="L14" t="inlineStr"/>
      <c r="M14" t="inlineStr"/>
      <c r="N14" t="inlineStr"/>
      <c r="O14" t="inlineStr"/>
      <c r="P14" t="inlineStr"/>
      <c r="Q14" t="inlineStr"/>
      <c r="R14" t="inlineStr"/>
      <c r="S14" t="inlineStr"/>
      <c r="T14" t="inlineStr"/>
      <c r="U14" t="inlineStr"/>
      <c r="V14" t="inlineStr"/>
      <c r="W14" t="inlineStr"/>
      <c r="X14" t="inlineStr"/>
      <c r="Y14" t="inlineStr"/>
      <c r="Z14" t="inlineStr"/>
      <c r="AA14" t="inlineStr"/>
      <c r="AB14" t="inlineStr"/>
      <c r="AC14" t="inlineStr"/>
      <c r="AD14" t="inlineStr"/>
      <c r="AE14" t="inlineStr"/>
      <c r="AF14" t="inlineStr"/>
      <c r="AG14" t="inlineStr"/>
      <c r="AH14" t="inlineStr"/>
      <c r="AI14" t="inlineStr"/>
      <c r="AJ14" t="inlineStr"/>
      <c r="AK14" t="inlineStr"/>
      <c r="AL14" t="inlineStr"/>
      <c r="AM14" t="inlineStr"/>
      <c r="AN14" t="inlineStr"/>
      <c r="AO14" t="inlineStr"/>
      <c r="AP14" t="inlineStr"/>
      <c r="AQ14" t="inlineStr"/>
      <c r="AR14" t="inlineStr"/>
      <c r="AS14" t="inlineStr"/>
      <c r="AT14" t="inlineStr"/>
      <c r="AU14" t="inlineStr"/>
      <c r="AV14" t="inlineStr"/>
      <c r="AW14" t="inlineStr"/>
      <c r="AX14" t="inlineStr"/>
      <c r="AY14" t="inlineStr"/>
      <c r="AZ14" t="inlineStr"/>
      <c r="BA14" t="inlineStr"/>
      <c r="BB14" t="inlineStr"/>
      <c r="BC14" t="inlineStr"/>
      <c r="BD14" t="inlineStr"/>
      <c r="BE14" t="inlineStr"/>
      <c r="BF14" t="inlineStr"/>
      <c r="BG14" t="inlineStr"/>
      <c r="BH14" t="inlineStr"/>
      <c r="BI14" t="inlineStr"/>
      <c r="BJ14" t="inlineStr"/>
      <c r="BK14" t="inlineStr"/>
      <c r="BL14" t="inlineStr"/>
      <c r="BM14" t="inlineStr"/>
      <c r="BN14" t="inlineStr"/>
      <c r="BO14" t="inlineStr"/>
      <c r="BP14" t="inlineStr"/>
      <c r="BQ14" t="inlineStr"/>
      <c r="BR14" t="inlineStr"/>
      <c r="BS14" t="inlineStr"/>
      <c r="BT14" t="inlineStr"/>
      <c r="BU14" t="inlineStr"/>
      <c r="BV14" t="inlineStr"/>
      <c r="BW14" t="inlineStr"/>
      <c r="BX14" t="inlineStr"/>
      <c r="BY14" t="inlineStr"/>
      <c r="BZ14" t="inlineStr"/>
      <c r="CA14" t="inlineStr"/>
      <c r="CB14" t="inlineStr"/>
      <c r="CC14" t="inlineStr"/>
      <c r="CD14" t="inlineStr"/>
      <c r="CE14" t="inlineStr"/>
      <c r="CF14" t="inlineStr"/>
      <c r="CG14" t="inlineStr"/>
      <c r="CH14" t="inlineStr"/>
      <c r="CI14" t="inlineStr"/>
      <c r="CJ14" t="inlineStr"/>
      <c r="CK14" t="inlineStr"/>
      <c r="CL14" t="inlineStr"/>
      <c r="CM14" t="inlineStr"/>
    </row>
    <row r="15">
      <c r="B15" t="inlineStr">
        <is>
          <t>Cash Flows</t>
        </is>
      </c>
      <c r="C15" t="inlineStr"/>
      <c r="D15">
        <f>IF(Model_Assumptions!$C$8 = 0, $D$7, $C$7)</f>
        <v/>
      </c>
      <c r="E15">
        <f>IF(E16=Model_Assumptions!$C$8 +1, $D$7, IF(E16 = Model_Assumptions!$B$8+1, $E$7, ""))</f>
        <v/>
      </c>
      <c r="F15">
        <f>IF(F16=Model_Assumptions!$C$8 +1, $D$7, IF(F16 = Model_Assumptions!$B$8+1, $E$7, ""))</f>
        <v/>
      </c>
      <c r="G15">
        <f>IF(G16=Model_Assumptions!$C$8 +1, $D$7, IF(G16 = Model_Assumptions!$B$8+1, $E$7, ""))</f>
        <v/>
      </c>
      <c r="H15">
        <f>IF(H16=Model_Assumptions!$C$8 +1, $D$7, IF(H16 = Model_Assumptions!$B$8+1, $E$7, ""))</f>
        <v/>
      </c>
      <c r="I15">
        <f>IF(I16=Model_Assumptions!$C$8 +1, $D$7, IF(I16 = Model_Assumptions!$B$8+1, $E$7, ""))</f>
        <v/>
      </c>
      <c r="J15">
        <f>IF(J16=Model_Assumptions!$C$8 +1, $D$7, IF(J16 = Model_Assumptions!$B$8+1, $E$7, ""))</f>
        <v/>
      </c>
      <c r="K15">
        <f>IF(K16=Model_Assumptions!$C$8 +1, $D$7, IF(K16 = Model_Assumptions!$B$8+1, $E$7, ""))</f>
        <v/>
      </c>
      <c r="L15">
        <f>IF(L16=Model_Assumptions!$C$8 +1, $D$7, IF(L16 = Model_Assumptions!$B$8+1, $E$7, ""))</f>
        <v/>
      </c>
      <c r="M15">
        <f>IF(M16=Model_Assumptions!$C$8 +1, $D$7, IF(M16 = Model_Assumptions!$B$8+1, $E$7, ""))</f>
        <v/>
      </c>
      <c r="N15">
        <f>IF(N16=Model_Assumptions!$C$8 +1, $D$7, IF(N16 = Model_Assumptions!$B$8+1, $E$7, ""))</f>
        <v/>
      </c>
      <c r="O15">
        <f>IF(O16=Model_Assumptions!$C$8 +1, $D$7, IF(O16 = Model_Assumptions!$B$8+1, $E$7, ""))</f>
        <v/>
      </c>
      <c r="P15">
        <f>IF(P16=Model_Assumptions!$C$8 +1, $D$7, IF(P16 = Model_Assumptions!$B$8+1, $E$7, ""))</f>
        <v/>
      </c>
      <c r="Q15">
        <f>IF(Q16=Model_Assumptions!$C$8 +1, $D$7, IF(Q16 = Model_Assumptions!$B$8+1, $E$7, ""))</f>
        <v/>
      </c>
      <c r="R15">
        <f>IF(R16=Model_Assumptions!$C$8 +1, $D$7, IF(R16 = Model_Assumptions!$B$8+1, $E$7, ""))</f>
        <v/>
      </c>
      <c r="S15">
        <f>IF(S16=Model_Assumptions!$C$8 +1, $D$7, IF(S16 = Model_Assumptions!$B$8+1, $E$7, ""))</f>
        <v/>
      </c>
      <c r="T15">
        <f>IF(T16=Model_Assumptions!$C$8 +1, $D$7, IF(T16 = Model_Assumptions!$B$8+1, $E$7, ""))</f>
        <v/>
      </c>
      <c r="U15">
        <f>IF(U16=Model_Assumptions!$C$8 +1, $D$7, IF(U16 = Model_Assumptions!$B$8+1, $E$7, ""))</f>
        <v/>
      </c>
      <c r="V15">
        <f>IF(V16=Model_Assumptions!$C$8 +1, $D$7, IF(V16 = Model_Assumptions!$B$8+1, $E$7, ""))</f>
        <v/>
      </c>
      <c r="W15">
        <f>IF(W16=Model_Assumptions!$C$8 +1, $D$7, IF(W16 = Model_Assumptions!$B$8+1, $E$7, ""))</f>
        <v/>
      </c>
      <c r="X15">
        <f>IF(X16=Model_Assumptions!$C$8 +1, $D$7, IF(X16 = Model_Assumptions!$B$8+1, $E$7, ""))</f>
        <v/>
      </c>
      <c r="Y15">
        <f>IF(Y16=Model_Assumptions!$C$8 +1, $D$7, IF(Y16 = Model_Assumptions!$B$8+1, $E$7, ""))</f>
        <v/>
      </c>
      <c r="Z15">
        <f>IF(Z16=Model_Assumptions!$C$8 +1, $D$7, IF(Z16 = Model_Assumptions!$B$8+1, $E$7, ""))</f>
        <v/>
      </c>
      <c r="AA15">
        <f>IF(AA16=Model_Assumptions!$C$8 +1, $D$7, IF(AA16 = Model_Assumptions!$B$8+1, $E$7, ""))</f>
        <v/>
      </c>
      <c r="AB15">
        <f>IF(AB16=Model_Assumptions!$C$8 +1, $D$7, IF(AB16 = Model_Assumptions!$B$8+1, $E$7, ""))</f>
        <v/>
      </c>
      <c r="AC15">
        <f>IF(AC16=Model_Assumptions!$C$8 +1, $D$7, IF(AC16 = Model_Assumptions!$B$8+1, $E$7, ""))</f>
        <v/>
      </c>
      <c r="AD15">
        <f>IF(AD16=Model_Assumptions!$C$8 +1, $D$7, IF(AD16 = Model_Assumptions!$B$8+1, $E$7, ""))</f>
        <v/>
      </c>
      <c r="AE15">
        <f>IF(AE16=Model_Assumptions!$C$8 +1, $D$7, IF(AE16 = Model_Assumptions!$B$8+1, $E$7, ""))</f>
        <v/>
      </c>
      <c r="AF15">
        <f>IF(AF16=Model_Assumptions!$C$8 +1, $D$7, IF(AF16 = Model_Assumptions!$B$8+1, $E$7, ""))</f>
        <v/>
      </c>
      <c r="AG15">
        <f>IF(AG16=Model_Assumptions!$C$8 +1, $D$7, IF(AG16 = Model_Assumptions!$B$8+1, $E$7, ""))</f>
        <v/>
      </c>
      <c r="AH15">
        <f>IF(AH16=Model_Assumptions!$C$8 +1, $D$7, IF(AH16 = Model_Assumptions!$B$8+1, $E$7, ""))</f>
        <v/>
      </c>
      <c r="AI15">
        <f>IF(AI16=Model_Assumptions!$C$8 +1, $D$7, IF(AI16 = Model_Assumptions!$B$8+1, $E$7, ""))</f>
        <v/>
      </c>
      <c r="AJ15">
        <f>IF(AJ16=Model_Assumptions!$C$8 +1, $D$7, IF(AJ16 = Model_Assumptions!$B$8+1, $E$7, ""))</f>
        <v/>
      </c>
      <c r="AK15">
        <f>IF(AK16=Model_Assumptions!$C$8 +1, $D$7, IF(AK16 = Model_Assumptions!$B$8+1, $E$7, ""))</f>
        <v/>
      </c>
      <c r="AL15">
        <f>IF(AL16=Model_Assumptions!$C$8 +1, $D$7, IF(AL16 = Model_Assumptions!$B$8+1, $E$7, ""))</f>
        <v/>
      </c>
      <c r="AM15">
        <f>IF(AM16=Model_Assumptions!$C$8 +1, $D$7, IF(AM16 = Model_Assumptions!$B$8+1, $E$7, ""))</f>
        <v/>
      </c>
      <c r="AN15">
        <f>IF(AN16=Model_Assumptions!$C$8 +1, $D$7, IF(AN16 = Model_Assumptions!$B$8+1, $E$7, ""))</f>
        <v/>
      </c>
      <c r="AO15">
        <f>IF(AO16=Model_Assumptions!$C$8 +1, $D$7, IF(AO16 = Model_Assumptions!$B$8+1, $E$7, ""))</f>
        <v/>
      </c>
      <c r="AP15">
        <f>IF(AP16=Model_Assumptions!$C$8 +1, $D$7, IF(AP16 = Model_Assumptions!$B$8+1, $E$7, ""))</f>
        <v/>
      </c>
      <c r="AQ15">
        <f>IF(AQ16=Model_Assumptions!$C$8 +1, $D$7, IF(AQ16 = Model_Assumptions!$B$8+1, $E$7, ""))</f>
        <v/>
      </c>
      <c r="AR15">
        <f>IF(AR16=Model_Assumptions!$C$8 +1, $D$7, IF(AR16 = Model_Assumptions!$B$8+1, $E$7, ""))</f>
        <v/>
      </c>
      <c r="AS15">
        <f>IF(AS16=Model_Assumptions!$C$8 +1, $D$7, IF(AS16 = Model_Assumptions!$B$8+1, $E$7, ""))</f>
        <v/>
      </c>
      <c r="AT15">
        <f>IF(AT16=Model_Assumptions!$C$8 +1, $D$7, IF(AT16 = Model_Assumptions!$B$8+1, $E$7, ""))</f>
        <v/>
      </c>
      <c r="AU15">
        <f>IF(AU16=Model_Assumptions!$C$8 +1, $D$7, IF(AU16 = Model_Assumptions!$B$8+1, $E$7, ""))</f>
        <v/>
      </c>
      <c r="AV15">
        <f>IF(AV16=Model_Assumptions!$C$8 +1, $D$7, IF(AV16 = Model_Assumptions!$B$8+1, $E$7, ""))</f>
        <v/>
      </c>
      <c r="AW15">
        <f>IF(AW16=Model_Assumptions!$C$8 +1, $D$7, IF(AW16 = Model_Assumptions!$B$8+1, $E$7, ""))</f>
        <v/>
      </c>
      <c r="AX15">
        <f>IF(AX16=Model_Assumptions!$C$8 +1, $D$7, IF(AX16 = Model_Assumptions!$B$8+1, $E$7, ""))</f>
        <v/>
      </c>
      <c r="AY15">
        <f>IF(AY16=Model_Assumptions!$C$8 +1, $D$7, IF(AY16 = Model_Assumptions!$B$8+1, $E$7, ""))</f>
        <v/>
      </c>
      <c r="AZ15">
        <f>IF(AZ16=Model_Assumptions!$C$8 +1, $D$7, IF(AZ16 = Model_Assumptions!$B$8+1, $E$7, ""))</f>
        <v/>
      </c>
      <c r="BA15">
        <f>IF(BA16=Model_Assumptions!$C$8 +1, $D$7, IF(BA16 = Model_Assumptions!$B$8+1, $E$7, ""))</f>
        <v/>
      </c>
      <c r="BB15">
        <f>IF(BB16=Model_Assumptions!$C$8 +1, $D$7, IF(BB16 = Model_Assumptions!$B$8+1, $E$7, ""))</f>
        <v/>
      </c>
      <c r="BC15">
        <f>IF(BC16=Model_Assumptions!$C$8 +1, $D$7, IF(BC16 = Model_Assumptions!$B$8+1, $E$7, ""))</f>
        <v/>
      </c>
      <c r="BD15">
        <f>IF(BD16=Model_Assumptions!$C$8 +1, $D$7, IF(BD16 = Model_Assumptions!$B$8+1, $E$7, ""))</f>
        <v/>
      </c>
      <c r="BE15">
        <f>IF(BE16=Model_Assumptions!$C$8 +1, $D$7, IF(BE16 = Model_Assumptions!$B$8+1, $E$7, ""))</f>
        <v/>
      </c>
      <c r="BF15">
        <f>IF(BF16=Model_Assumptions!$C$8 +1, $D$7, IF(BF16 = Model_Assumptions!$B$8+1, $E$7, ""))</f>
        <v/>
      </c>
      <c r="BG15">
        <f>IF(BG16=Model_Assumptions!$C$8 +1, $D$7, IF(BG16 = Model_Assumptions!$B$8+1, $E$7, ""))</f>
        <v/>
      </c>
      <c r="BH15">
        <f>IF(BH16=Model_Assumptions!$C$8 +1, $D$7, IF(BH16 = Model_Assumptions!$B$8+1, $E$7, ""))</f>
        <v/>
      </c>
      <c r="BI15">
        <f>IF(BI16=Model_Assumptions!$C$8 +1, $D$7, IF(BI16 = Model_Assumptions!$B$8+1, $E$7, ""))</f>
        <v/>
      </c>
      <c r="BJ15">
        <f>IF(BJ16=Model_Assumptions!$C$8 +1, $D$7, IF(BJ16 = Model_Assumptions!$B$8+1, $E$7, ""))</f>
        <v/>
      </c>
      <c r="BK15">
        <f>IF(BK16=Model_Assumptions!$C$8 +1, $D$7, IF(BK16 = Model_Assumptions!$B$8+1, $E$7, ""))</f>
        <v/>
      </c>
      <c r="BL15">
        <f>IF(BL16=Model_Assumptions!$C$8 +1, $D$7, IF(BL16 = Model_Assumptions!$B$8+1, $E$7, ""))</f>
        <v/>
      </c>
      <c r="BM15">
        <f>IF(BM16=Model_Assumptions!$C$8 +1, $D$7, IF(BM16 = Model_Assumptions!$B$8+1, $E$7, ""))</f>
        <v/>
      </c>
      <c r="BN15">
        <f>IF(BN16=Model_Assumptions!$C$8 +1, $D$7, IF(BN16 = Model_Assumptions!$B$8+1, $E$7, ""))</f>
        <v/>
      </c>
      <c r="BO15">
        <f>IF(BO16=Model_Assumptions!$C$8 +1, $D$7, IF(BO16 = Model_Assumptions!$B$8+1, $E$7, ""))</f>
        <v/>
      </c>
      <c r="BP15">
        <f>IF(BP16=Model_Assumptions!$C$8 +1, $D$7, IF(BP16 = Model_Assumptions!$B$8+1, $E$7, ""))</f>
        <v/>
      </c>
      <c r="BQ15">
        <f>IF(BQ16=Model_Assumptions!$C$8 +1, $D$7, IF(BQ16 = Model_Assumptions!$B$8+1, $E$7, ""))</f>
        <v/>
      </c>
      <c r="BR15">
        <f>IF(BR16=Model_Assumptions!$C$8 +1, $D$7, IF(BR16 = Model_Assumptions!$B$8+1, $E$7, ""))</f>
        <v/>
      </c>
      <c r="BS15">
        <f>IF(BS16=Model_Assumptions!$C$8 +1, $D$7, IF(BS16 = Model_Assumptions!$B$8+1, $E$7, ""))</f>
        <v/>
      </c>
      <c r="BT15">
        <f>IF(BT16=Model_Assumptions!$C$8 +1, $D$7, IF(BT16 = Model_Assumptions!$B$8+1, $E$7, ""))</f>
        <v/>
      </c>
      <c r="BU15">
        <f>IF(BU16=Model_Assumptions!$C$8 +1, $D$7, IF(BU16 = Model_Assumptions!$B$8+1, $E$7, ""))</f>
        <v/>
      </c>
      <c r="BV15">
        <f>IF(BV16=Model_Assumptions!$C$8 +1, $D$7, IF(BV16 = Model_Assumptions!$B$8+1, $E$7, ""))</f>
        <v/>
      </c>
      <c r="BW15">
        <f>IF(BW16=Model_Assumptions!$C$8 +1, $D$7, IF(BW16 = Model_Assumptions!$B$8+1, $E$7, ""))</f>
        <v/>
      </c>
      <c r="BX15">
        <f>IF(BX16=Model_Assumptions!$C$8 +1, $D$7, IF(BX16 = Model_Assumptions!$B$8+1, $E$7, ""))</f>
        <v/>
      </c>
      <c r="BY15">
        <f>IF(BY16=Model_Assumptions!$C$8 +1, $D$7, IF(BY16 = Model_Assumptions!$B$8+1, $E$7, ""))</f>
        <v/>
      </c>
      <c r="BZ15">
        <f>IF(BZ16=Model_Assumptions!$C$8 +1, $D$7, IF(BZ16 = Model_Assumptions!$B$8+1, $E$7, ""))</f>
        <v/>
      </c>
      <c r="CA15">
        <f>IF(CA16=Model_Assumptions!$C$8 +1, $D$7, IF(CA16 = Model_Assumptions!$B$8+1, $E$7, ""))</f>
        <v/>
      </c>
      <c r="CB15">
        <f>IF(CB16=Model_Assumptions!$C$8 +1, $D$7, IF(CB16 = Model_Assumptions!$B$8+1, $E$7, ""))</f>
        <v/>
      </c>
      <c r="CC15">
        <f>IF(CC16=Model_Assumptions!$C$8 +1, $D$7, IF(CC16 = Model_Assumptions!$B$8+1, $E$7, ""))</f>
        <v/>
      </c>
      <c r="CD15">
        <f>IF(CD16=Model_Assumptions!$C$8 +1, $D$7, IF(CD16 = Model_Assumptions!$B$8+1, $E$7, ""))</f>
        <v/>
      </c>
      <c r="CE15">
        <f>IF(CE16=Model_Assumptions!$C$8 +1, $D$7, IF(CE16 = Model_Assumptions!$B$8+1, $E$7, ""))</f>
        <v/>
      </c>
      <c r="CF15">
        <f>IF(CF16=Model_Assumptions!$C$8 +1, $D$7, IF(CF16 = Model_Assumptions!$B$8+1, $E$7, ""))</f>
        <v/>
      </c>
      <c r="CG15">
        <f>IF(CG16=Model_Assumptions!$C$8 +1, $D$7, IF(CG16 = Model_Assumptions!$B$8+1, $E$7, ""))</f>
        <v/>
      </c>
      <c r="CH15">
        <f>IF(CH16=Model_Assumptions!$C$8 +1, $D$7, IF(CH16 = Model_Assumptions!$B$8+1, $E$7, ""))</f>
        <v/>
      </c>
      <c r="CI15">
        <f>IF(CI16=Model_Assumptions!$C$8 +1, $D$7, IF(CI16 = Model_Assumptions!$B$8+1, $E$7, ""))</f>
        <v/>
      </c>
      <c r="CJ15">
        <f>IF(CJ16=Model_Assumptions!$C$8 +1, $D$7, IF(CJ16 = Model_Assumptions!$B$8+1, $E$7, ""))</f>
        <v/>
      </c>
      <c r="CK15">
        <f>IF(CK16=Model_Assumptions!$C$8 +1, $D$7, IF(CK16 = Model_Assumptions!$B$8+1, $E$7, ""))</f>
        <v/>
      </c>
      <c r="CL15">
        <f>IF(CL16=Model_Assumptions!$C$8 +1, $D$7, IF(CL16 = Model_Assumptions!$B$8+1, $E$7, ""))</f>
        <v/>
      </c>
      <c r="CM15">
        <f>IF(CM16=Model_Assumptions!$C$8 +1, $D$7, IF(CM16 = Model_Assumptions!$B$8+1, $E$7, ""))</f>
        <v/>
      </c>
    </row>
    <row r="16">
      <c r="B16" s="5" t="inlineStr">
        <is>
          <t>Year</t>
        </is>
      </c>
      <c r="C16" s="12">
        <f>0</f>
        <v/>
      </c>
      <c r="D16" s="13">
        <f>IF(C16&lt;'Model_Assumptions'!$B$8+1,C16+1, "")</f>
        <v/>
      </c>
      <c r="E16" s="13">
        <f>IF(D16&lt;'Model_Assumptions'!$B$8+1,D16+1, "")</f>
        <v/>
      </c>
      <c r="F16" s="13">
        <f>IF(E16&lt;'Model_Assumptions'!$B$8+1,E16+1, "")</f>
        <v/>
      </c>
      <c r="G16" s="13">
        <f>IF(F16&lt;'Model_Assumptions'!$B$8+1,F16+1, "")</f>
        <v/>
      </c>
      <c r="H16" s="13">
        <f>IF(G16&lt;'Model_Assumptions'!$B$8+1,G16+1, "")</f>
        <v/>
      </c>
      <c r="I16" s="13">
        <f>IF(H16&lt;'Model_Assumptions'!$B$8+1,H16+1, "")</f>
        <v/>
      </c>
      <c r="J16" s="13">
        <f>IF(I16&lt;'Model_Assumptions'!$B$8+1,I16+1, "")</f>
        <v/>
      </c>
      <c r="K16" s="13">
        <f>IF(J16&lt;'Model_Assumptions'!$B$8+1,J16+1, "")</f>
        <v/>
      </c>
      <c r="L16" s="13">
        <f>IF(K16&lt;'Model_Assumptions'!$B$8+1,K16+1, "")</f>
        <v/>
      </c>
      <c r="M16" s="13">
        <f>IF(L16&lt;'Model_Assumptions'!$B$8+1,L16+1, "")</f>
        <v/>
      </c>
      <c r="N16" s="13">
        <f>IF(M16&lt;'Model_Assumptions'!$B$8+1,M16+1, "")</f>
        <v/>
      </c>
      <c r="O16" s="13">
        <f>IF(N16&lt;'Model_Assumptions'!$B$8+1,N16+1, "")</f>
        <v/>
      </c>
      <c r="P16" s="13">
        <f>IF(O16&lt;'Model_Assumptions'!$B$8+1,O16+1, "")</f>
        <v/>
      </c>
      <c r="Q16" s="13">
        <f>IF(P16&lt;'Model_Assumptions'!$B$8+1,P16+1, "")</f>
        <v/>
      </c>
      <c r="R16" s="13">
        <f>IF(Q16&lt;'Model_Assumptions'!$B$8+1,Q16+1, "")</f>
        <v/>
      </c>
      <c r="S16" s="13">
        <f>IF(R16&lt;'Model_Assumptions'!$B$8+1,R16+1, "")</f>
        <v/>
      </c>
      <c r="T16" s="13">
        <f>IF(S16&lt;'Model_Assumptions'!$B$8+1,S16+1, "")</f>
        <v/>
      </c>
      <c r="U16" s="13">
        <f>IF(T16&lt;'Model_Assumptions'!$B$8+1,T16+1, "")</f>
        <v/>
      </c>
      <c r="V16" s="13">
        <f>IF(U16&lt;'Model_Assumptions'!$B$8+1,U16+1, "")</f>
        <v/>
      </c>
      <c r="W16" s="13">
        <f>IF(V16&lt;'Model_Assumptions'!$B$8+1,V16+1, "")</f>
        <v/>
      </c>
      <c r="X16" s="13">
        <f>IF(W16&lt;'Model_Assumptions'!$B$8+1,W16+1, "")</f>
        <v/>
      </c>
      <c r="Y16" s="13">
        <f>IF(X16&lt;'Model_Assumptions'!$B$8+1,X16+1, "")</f>
        <v/>
      </c>
      <c r="Z16" s="13">
        <f>IF(Y16&lt;'Model_Assumptions'!$B$8+1,Y16+1, "")</f>
        <v/>
      </c>
      <c r="AA16" s="13">
        <f>IF(Z16&lt;'Model_Assumptions'!$B$8+1,Z16+1, "")</f>
        <v/>
      </c>
      <c r="AB16" s="13">
        <f>IF(AA16&lt;'Model_Assumptions'!$B$8+1,AA16+1, "")</f>
        <v/>
      </c>
      <c r="AC16" s="13">
        <f>IF(AB16&lt;'Model_Assumptions'!$B$8+1,AB16+1, "")</f>
        <v/>
      </c>
      <c r="AD16" s="13">
        <f>IF(AC16&lt;'Model_Assumptions'!$B$8+1,AC16+1, "")</f>
        <v/>
      </c>
      <c r="AE16" s="13">
        <f>IF(AD16&lt;'Model_Assumptions'!$B$8+1,AD16+1, "")</f>
        <v/>
      </c>
      <c r="AF16" s="13">
        <f>IF(AE16&lt;'Model_Assumptions'!$B$8+1,AE16+1, "")</f>
        <v/>
      </c>
      <c r="AG16" s="13">
        <f>IF(AF16&lt;'Model_Assumptions'!$B$8+1,AF16+1, "")</f>
        <v/>
      </c>
      <c r="AH16" s="13">
        <f>IF(AG16&lt;'Model_Assumptions'!$B$8+1,AG16+1, "")</f>
        <v/>
      </c>
      <c r="AI16" s="13">
        <f>IF(AH16&lt;'Model_Assumptions'!$B$8+1,AH16+1, "")</f>
        <v/>
      </c>
      <c r="AJ16" s="13">
        <f>IF(AI16&lt;'Model_Assumptions'!$B$8+1,AI16+1, "")</f>
        <v/>
      </c>
      <c r="AK16" s="13">
        <f>IF(AJ16&lt;'Model_Assumptions'!$B$8+1,AJ16+1, "")</f>
        <v/>
      </c>
      <c r="AL16" s="13">
        <f>IF(AK16&lt;'Model_Assumptions'!$B$8+1,AK16+1, "")</f>
        <v/>
      </c>
      <c r="AM16" s="13">
        <f>IF(AL16&lt;'Model_Assumptions'!$B$8+1,AL16+1, "")</f>
        <v/>
      </c>
      <c r="AN16" s="13">
        <f>IF(AM16&lt;'Model_Assumptions'!$B$8+1,AM16+1, "")</f>
        <v/>
      </c>
      <c r="AO16" s="13">
        <f>IF(AN16&lt;'Model_Assumptions'!$B$8+1,AN16+1, "")</f>
        <v/>
      </c>
      <c r="AP16" s="13">
        <f>IF(AO16&lt;'Model_Assumptions'!$B$8+1,AO16+1, "")</f>
        <v/>
      </c>
      <c r="AQ16" s="13">
        <f>IF(AP16&lt;'Model_Assumptions'!$B$8+1,AP16+1, "")</f>
        <v/>
      </c>
      <c r="AR16" s="13">
        <f>IF(AQ16&lt;'Model_Assumptions'!$B$8+1,AQ16+1, "")</f>
        <v/>
      </c>
      <c r="AS16" s="13">
        <f>IF(AR16&lt;'Model_Assumptions'!$B$8+1,AR16+1, "")</f>
        <v/>
      </c>
      <c r="AT16" s="13">
        <f>IF(AS16&lt;'Model_Assumptions'!$B$8+1,AS16+1, "")</f>
        <v/>
      </c>
      <c r="AU16" s="13">
        <f>IF(AT16&lt;'Model_Assumptions'!$B$8+1,AT16+1, "")</f>
        <v/>
      </c>
      <c r="AV16" s="13">
        <f>IF(AU16&lt;'Model_Assumptions'!$B$8+1,AU16+1, "")</f>
        <v/>
      </c>
      <c r="AW16" s="13">
        <f>IF(AV16&lt;'Model_Assumptions'!$B$8+1,AV16+1, "")</f>
        <v/>
      </c>
      <c r="AX16" s="13">
        <f>IF(AW16&lt;'Model_Assumptions'!$B$8+1,AW16+1, "")</f>
        <v/>
      </c>
      <c r="AY16" s="13">
        <f>IF(AX16&lt;'Model_Assumptions'!$B$8+1,AX16+1, "")</f>
        <v/>
      </c>
      <c r="AZ16" s="13">
        <f>IF(AY16&lt;'Model_Assumptions'!$B$8+1,AY16+1, "")</f>
        <v/>
      </c>
      <c r="BA16" s="13">
        <f>IF(AZ16&lt;'Model_Assumptions'!$B$8+1,AZ16+1, "")</f>
        <v/>
      </c>
      <c r="BB16" s="13">
        <f>IF(BA16&lt;'Model_Assumptions'!$B$8+1,BA16+1, "")</f>
        <v/>
      </c>
      <c r="BC16" s="13">
        <f>IF(BB16&lt;'Model_Assumptions'!$B$8+1,BB16+1, "")</f>
        <v/>
      </c>
      <c r="BD16" s="13">
        <f>IF(BC16&lt;'Model_Assumptions'!$B$8+1,BC16+1, "")</f>
        <v/>
      </c>
      <c r="BE16" s="13">
        <f>IF(BD16&lt;'Model_Assumptions'!$B$8+1,BD16+1, "")</f>
        <v/>
      </c>
      <c r="BF16" s="13">
        <f>IF(BE16&lt;'Model_Assumptions'!$B$8+1,BE16+1, "")</f>
        <v/>
      </c>
      <c r="BG16" s="13">
        <f>IF(BF16&lt;'Model_Assumptions'!$B$8+1,BF16+1, "")</f>
        <v/>
      </c>
      <c r="BH16" s="13">
        <f>IF(BG16&lt;'Model_Assumptions'!$B$8+1,BG16+1, "")</f>
        <v/>
      </c>
      <c r="BI16" s="13">
        <f>IF(BH16&lt;'Model_Assumptions'!$B$8+1,BH16+1, "")</f>
        <v/>
      </c>
      <c r="BJ16" s="13">
        <f>IF(BI16&lt;'Model_Assumptions'!$B$8+1,BI16+1, "")</f>
        <v/>
      </c>
      <c r="BK16" s="13">
        <f>IF(BJ16&lt;'Model_Assumptions'!$B$8+1,BJ16+1, "")</f>
        <v/>
      </c>
      <c r="BL16" s="13">
        <f>IF(BK16&lt;'Model_Assumptions'!$B$8+1,BK16+1, "")</f>
        <v/>
      </c>
      <c r="BM16" s="13">
        <f>IF(BL16&lt;'Model_Assumptions'!$B$8+1,BL16+1, "")</f>
        <v/>
      </c>
      <c r="BN16" s="13">
        <f>IF(BM16&lt;'Model_Assumptions'!$B$8+1,BM16+1, "")</f>
        <v/>
      </c>
      <c r="BO16" s="13">
        <f>IF(BN16&lt;'Model_Assumptions'!$B$8+1,BN16+1, "")</f>
        <v/>
      </c>
      <c r="BP16" s="13">
        <f>IF(BO16&lt;'Model_Assumptions'!$B$8+1,BO16+1, "")</f>
        <v/>
      </c>
      <c r="BQ16" s="13">
        <f>IF(BP16&lt;'Model_Assumptions'!$B$8+1,BP16+1, "")</f>
        <v/>
      </c>
      <c r="BR16" s="13">
        <f>IF(BQ16&lt;'Model_Assumptions'!$B$8+1,BQ16+1, "")</f>
        <v/>
      </c>
      <c r="BS16" s="13">
        <f>IF(BR16&lt;'Model_Assumptions'!$B$8+1,BR16+1, "")</f>
        <v/>
      </c>
      <c r="BT16" s="13">
        <f>IF(BS16&lt;'Model_Assumptions'!$B$8+1,BS16+1, "")</f>
        <v/>
      </c>
      <c r="BU16" s="13">
        <f>IF(BT16&lt;'Model_Assumptions'!$B$8+1,BT16+1, "")</f>
        <v/>
      </c>
      <c r="BV16" s="13">
        <f>IF(BU16&lt;'Model_Assumptions'!$B$8+1,BU16+1, "")</f>
        <v/>
      </c>
      <c r="BW16" s="13">
        <f>IF(BV16&lt;'Model_Assumptions'!$B$8+1,BV16+1, "")</f>
        <v/>
      </c>
      <c r="BX16" s="13">
        <f>IF(BW16&lt;'Model_Assumptions'!$B$8+1,BW16+1, "")</f>
        <v/>
      </c>
      <c r="BY16" s="13">
        <f>IF(BX16&lt;'Model_Assumptions'!$B$8+1,BX16+1, "")</f>
        <v/>
      </c>
      <c r="BZ16" s="13">
        <f>IF(BY16&lt;'Model_Assumptions'!$B$8+1,BY16+1, "")</f>
        <v/>
      </c>
      <c r="CA16" s="13">
        <f>IF(BZ16&lt;'Model_Assumptions'!$B$8+1,BZ16+1, "")</f>
        <v/>
      </c>
      <c r="CB16" s="13">
        <f>IF(CA16&lt;'Model_Assumptions'!$B$8+1,CA16+1, "")</f>
        <v/>
      </c>
      <c r="CC16" s="13">
        <f>IF(CB16&lt;'Model_Assumptions'!$B$8+1,CB16+1, "")</f>
        <v/>
      </c>
      <c r="CD16" s="13">
        <f>IF(CC16&lt;'Model_Assumptions'!$B$8+1,CC16+1, "")</f>
        <v/>
      </c>
      <c r="CE16" s="13">
        <f>IF(CD16&lt;'Model_Assumptions'!$B$8+1,CD16+1, "")</f>
        <v/>
      </c>
      <c r="CF16" s="13">
        <f>IF(CE16&lt;'Model_Assumptions'!$B$8+1,CE16+1, "")</f>
        <v/>
      </c>
      <c r="CG16" s="13">
        <f>IF(CF16&lt;'Model_Assumptions'!$B$8+1,CF16+1, "")</f>
        <v/>
      </c>
      <c r="CH16" s="13">
        <f>IF(CG16&lt;'Model_Assumptions'!$B$8+1,CG16+1, "")</f>
        <v/>
      </c>
      <c r="CI16" s="13">
        <f>IF(CH16&lt;'Model_Assumptions'!$B$8+1,CH16+1, "")</f>
        <v/>
      </c>
      <c r="CJ16" s="13">
        <f>IF(CI16&lt;'Model_Assumptions'!$B$8+1,CI16+1, "")</f>
        <v/>
      </c>
      <c r="CK16" s="13">
        <f>IF(CJ16&lt;'Model_Assumptions'!$B$8+1,CJ16+1, "")</f>
        <v/>
      </c>
      <c r="CL16" s="13">
        <f>IF(CK16&lt;'Model_Assumptions'!$B$8+1,CK16+1, "")</f>
        <v/>
      </c>
      <c r="CM16" s="14">
        <f>IF(CL16&lt;'Model_Assumptions'!$B$8+1,CL16+1, "")</f>
        <v/>
      </c>
    </row>
    <row r="17">
      <c r="B17" s="15" t="inlineStr">
        <is>
          <t>Revenue</t>
        </is>
      </c>
      <c r="C17" s="16" t="n">
        <v>416161000000</v>
      </c>
      <c r="D17" s="17">
        <f>IF(D$16="","",IF(D$16=('Model_Assumptions'!$B$8 +1),C$17*(1+$E$8),IF(D$16&lt;='Model_Assumptions'!$C$8,C$17*(1+$C$8),IF(D$16&gt;=('Model_Assumptions'!$C$8+1),C$17*(1+$D$8),""))))</f>
        <v/>
      </c>
      <c r="E17" s="17">
        <f>IF(E$16="","",IF(E$16=('Model_Assumptions'!$B$8 +1),D$17*(1+$E$8),IF(E$16&lt;='Model_Assumptions'!$C$8,D$17*(1+$C$8),IF(E$16&gt;=('Model_Assumptions'!$C$8+1),D$17*(1+$D$8),""))))</f>
        <v/>
      </c>
      <c r="F17" s="17">
        <f>IF(F$16="","",IF(F$16=('Model_Assumptions'!$B$8 +1),E$17*(1+$E$8),IF(F$16&lt;='Model_Assumptions'!$C$8,E$17*(1+$C$8),IF(F$16&gt;=('Model_Assumptions'!$C$8+1),E$17*(1+$D$8),""))))</f>
        <v/>
      </c>
      <c r="G17" s="17">
        <f>IF(G$16="","",IF(G$16=('Model_Assumptions'!$B$8 +1),F$17*(1+$E$8),IF(G$16&lt;='Model_Assumptions'!$C$8,F$17*(1+$C$8),IF(G$16&gt;=('Model_Assumptions'!$C$8+1),F$17*(1+$D$8),""))))</f>
        <v/>
      </c>
      <c r="H17" s="17">
        <f>IF(H$16="","",IF(H$16=('Model_Assumptions'!$B$8 +1),G$17*(1+$E$8),IF(H$16&lt;='Model_Assumptions'!$C$8,G$17*(1+$C$8),IF(H$16&gt;=('Model_Assumptions'!$C$8+1),G$17*(1+$D$8),""))))</f>
        <v/>
      </c>
      <c r="I17" s="17">
        <f>IF(I$16="","",IF(I$16=('Model_Assumptions'!$B$8 +1),H$17*(1+$E$8),IF(I$16&lt;='Model_Assumptions'!$C$8,H$17*(1+$C$8),IF(I$16&gt;=('Model_Assumptions'!$C$8+1),H$17*(1+$D$8),""))))</f>
        <v/>
      </c>
      <c r="J17" s="17">
        <f>IF(J$16="","",IF(J$16=('Model_Assumptions'!$B$8 +1),I$17*(1+$E$8),IF(J$16&lt;='Model_Assumptions'!$C$8,I$17*(1+$C$8),IF(J$16&gt;=('Model_Assumptions'!$C$8+1),I$17*(1+$D$8),""))))</f>
        <v/>
      </c>
      <c r="K17" s="17">
        <f>IF(K$16="","",IF(K$16=('Model_Assumptions'!$B$8 +1),J$17*(1+$E$8),IF(K$16&lt;='Model_Assumptions'!$C$8,J$17*(1+$C$8),IF(K$16&gt;=('Model_Assumptions'!$C$8+1),J$17*(1+$D$8),""))))</f>
        <v/>
      </c>
      <c r="L17" s="17">
        <f>IF(L$16="","",IF(L$16=('Model_Assumptions'!$B$8 +1),K$17*(1+$E$8),IF(L$16&lt;='Model_Assumptions'!$C$8,K$17*(1+$C$8),IF(L$16&gt;=('Model_Assumptions'!$C$8+1),K$17*(1+$D$8),""))))</f>
        <v/>
      </c>
      <c r="M17" s="17">
        <f>IF(M$16="","",IF(M$16=('Model_Assumptions'!$B$8 +1),L$17*(1+$E$8),IF(M$16&lt;='Model_Assumptions'!$C$8,L$17*(1+$C$8),IF(M$16&gt;=('Model_Assumptions'!$C$8+1),L$17*(1+$D$8),""))))</f>
        <v/>
      </c>
      <c r="N17" s="17">
        <f>IF(N$16="","",IF(N$16=('Model_Assumptions'!$B$8 +1),M$17*(1+$E$8),IF(N$16&lt;='Model_Assumptions'!$C$8,M$17*(1+$C$8),IF(N$16&gt;=('Model_Assumptions'!$C$8+1),M$17*(1+$D$8),""))))</f>
        <v/>
      </c>
      <c r="O17" s="17">
        <f>IF(O$16="","",IF(O$16=('Model_Assumptions'!$B$8 +1),N$17*(1+$E$8),IF(O$16&lt;='Model_Assumptions'!$C$8,N$17*(1+$C$8),IF(O$16&gt;=('Model_Assumptions'!$C$8+1),N$17*(1+$D$8),""))))</f>
        <v/>
      </c>
      <c r="P17" s="17">
        <f>IF(P$16="","",IF(P$16=('Model_Assumptions'!$B$8 +1),O$17*(1+$E$8),IF(P$16&lt;='Model_Assumptions'!$C$8,O$17*(1+$C$8),IF(P$16&gt;=('Model_Assumptions'!$C$8+1),O$17*(1+$D$8),""))))</f>
        <v/>
      </c>
      <c r="Q17" s="17">
        <f>IF(Q$16="","",IF(Q$16=('Model_Assumptions'!$B$8 +1),P$17*(1+$E$8),IF(Q$16&lt;='Model_Assumptions'!$C$8,P$17*(1+$C$8),IF(Q$16&gt;=('Model_Assumptions'!$C$8+1),P$17*(1+$D$8),""))))</f>
        <v/>
      </c>
      <c r="R17" s="17">
        <f>IF(R$16="","",IF(R$16=('Model_Assumptions'!$B$8 +1),Q$17*(1+$E$8),IF(R$16&lt;='Model_Assumptions'!$C$8,Q$17*(1+$C$8),IF(R$16&gt;=('Model_Assumptions'!$C$8+1),Q$17*(1+$D$8),""))))</f>
        <v/>
      </c>
      <c r="S17" s="17">
        <f>IF(S$16="","",IF(S$16=('Model_Assumptions'!$B$8 +1),R$17*(1+$E$8),IF(S$16&lt;='Model_Assumptions'!$C$8,R$17*(1+$C$8),IF(S$16&gt;=('Model_Assumptions'!$C$8+1),R$17*(1+$D$8),""))))</f>
        <v/>
      </c>
      <c r="T17" s="17">
        <f>IF(T$16="","",IF(T$16=('Model_Assumptions'!$B$8 +1),S$17*(1+$E$8),IF(T$16&lt;='Model_Assumptions'!$C$8,S$17*(1+$C$8),IF(T$16&gt;=('Model_Assumptions'!$C$8+1),S$17*(1+$D$8),""))))</f>
        <v/>
      </c>
      <c r="U17" s="17">
        <f>IF(U$16="","",IF(U$16=('Model_Assumptions'!$B$8 +1),T$17*(1+$E$8),IF(U$16&lt;='Model_Assumptions'!$C$8,T$17*(1+$C$8),IF(U$16&gt;=('Model_Assumptions'!$C$8+1),T$17*(1+$D$8),""))))</f>
        <v/>
      </c>
      <c r="V17" s="17">
        <f>IF(V$16="","",IF(V$16=('Model_Assumptions'!$B$8 +1),U$17*(1+$E$8),IF(V$16&lt;='Model_Assumptions'!$C$8,U$17*(1+$C$8),IF(V$16&gt;=('Model_Assumptions'!$C$8+1),U$17*(1+$D$8),""))))</f>
        <v/>
      </c>
      <c r="W17" s="17">
        <f>IF(W$16="","",IF(W$16=('Model_Assumptions'!$B$8 +1),V$17*(1+$E$8),IF(W$16&lt;='Model_Assumptions'!$C$8,V$17*(1+$C$8),IF(W$16&gt;=('Model_Assumptions'!$C$8+1),V$17*(1+$D$8),""))))</f>
        <v/>
      </c>
      <c r="X17" s="17">
        <f>IF(X$16="","",IF(X$16=('Model_Assumptions'!$B$8 +1),W$17*(1+$E$8),IF(X$16&lt;='Model_Assumptions'!$C$8,W$17*(1+$C$8),IF(X$16&gt;=('Model_Assumptions'!$C$8+1),W$17*(1+$D$8),""))))</f>
        <v/>
      </c>
      <c r="Y17" s="17">
        <f>IF(Y$16="","",IF(Y$16=('Model_Assumptions'!$B$8 +1),X$17*(1+$E$8),IF(Y$16&lt;='Model_Assumptions'!$C$8,X$17*(1+$C$8),IF(Y$16&gt;=('Model_Assumptions'!$C$8+1),X$17*(1+$D$8),""))))</f>
        <v/>
      </c>
      <c r="Z17" s="17">
        <f>IF(Z$16="","",IF(Z$16=('Model_Assumptions'!$B$8 +1),Y$17*(1+$E$8),IF(Z$16&lt;='Model_Assumptions'!$C$8,Y$17*(1+$C$8),IF(Z$16&gt;=('Model_Assumptions'!$C$8+1),Y$17*(1+$D$8),""))))</f>
        <v/>
      </c>
      <c r="AA17" s="17">
        <f>IF(AA$16="","",IF(AA$16=('Model_Assumptions'!$B$8 +1),Z$17*(1+$E$8),IF(AA$16&lt;='Model_Assumptions'!$C$8,Z$17*(1+$C$8),IF(AA$16&gt;=('Model_Assumptions'!$C$8+1),Z$17*(1+$D$8),""))))</f>
        <v/>
      </c>
      <c r="AB17" s="17">
        <f>IF(AB$16="","",IF(AB$16=('Model_Assumptions'!$B$8 +1),AA$17*(1+$E$8),IF(AB$16&lt;='Model_Assumptions'!$C$8,AA$17*(1+$C$8),IF(AB$16&gt;=('Model_Assumptions'!$C$8+1),AA$17*(1+$D$8),""))))</f>
        <v/>
      </c>
      <c r="AC17" s="17">
        <f>IF(AC$16="","",IF(AC$16=('Model_Assumptions'!$B$8 +1),AB$17*(1+$E$8),IF(AC$16&lt;='Model_Assumptions'!$C$8,AB$17*(1+$C$8),IF(AC$16&gt;=('Model_Assumptions'!$C$8+1),AB$17*(1+$D$8),""))))</f>
        <v/>
      </c>
      <c r="AD17" s="17">
        <f>IF(AD$16="","",IF(AD$16=('Model_Assumptions'!$B$8 +1),AC$17*(1+$E$8),IF(AD$16&lt;='Model_Assumptions'!$C$8,AC$17*(1+$C$8),IF(AD$16&gt;=('Model_Assumptions'!$C$8+1),AC$17*(1+$D$8),""))))</f>
        <v/>
      </c>
      <c r="AE17" s="17">
        <f>IF(AE$16="","",IF(AE$16=('Model_Assumptions'!$B$8 +1),AD$17*(1+$E$8),IF(AE$16&lt;='Model_Assumptions'!$C$8,AD$17*(1+$C$8),IF(AE$16&gt;=('Model_Assumptions'!$C$8+1),AD$17*(1+$D$8),""))))</f>
        <v/>
      </c>
      <c r="AF17" s="17">
        <f>IF(AF$16="","",IF(AF$16=('Model_Assumptions'!$B$8 +1),AE$17*(1+$E$8),IF(AF$16&lt;='Model_Assumptions'!$C$8,AE$17*(1+$C$8),IF(AF$16&gt;=('Model_Assumptions'!$C$8+1),AE$17*(1+$D$8),""))))</f>
        <v/>
      </c>
      <c r="AG17" s="17">
        <f>IF(AG$16="","",IF(AG$16=('Model_Assumptions'!$B$8 +1),AF$17*(1+$E$8),IF(AG$16&lt;='Model_Assumptions'!$C$8,AF$17*(1+$C$8),IF(AG$16&gt;=('Model_Assumptions'!$C$8+1),AF$17*(1+$D$8),""))))</f>
        <v/>
      </c>
      <c r="AH17" s="17">
        <f>IF(AH$16="","",IF(AH$16=('Model_Assumptions'!$B$8 +1),AG$17*(1+$E$8),IF(AH$16&lt;='Model_Assumptions'!$C$8,AG$17*(1+$C$8),IF(AH$16&gt;=('Model_Assumptions'!$C$8+1),AG$17*(1+$D$8),""))))</f>
        <v/>
      </c>
      <c r="AI17" s="17">
        <f>IF(AI$16="","",IF(AI$16=('Model_Assumptions'!$B$8 +1),AH$17*(1+$E$8),IF(AI$16&lt;='Model_Assumptions'!$C$8,AH$17*(1+$C$8),IF(AI$16&gt;=('Model_Assumptions'!$C$8+1),AH$17*(1+$D$8),""))))</f>
        <v/>
      </c>
      <c r="AJ17" s="17">
        <f>IF(AJ$16="","",IF(AJ$16=('Model_Assumptions'!$B$8 +1),AI$17*(1+$E$8),IF(AJ$16&lt;='Model_Assumptions'!$C$8,AI$17*(1+$C$8),IF(AJ$16&gt;=('Model_Assumptions'!$C$8+1),AI$17*(1+$D$8),""))))</f>
        <v/>
      </c>
      <c r="AK17" s="17">
        <f>IF(AK$16="","",IF(AK$16=('Model_Assumptions'!$B$8 +1),AJ$17*(1+$E$8),IF(AK$16&lt;='Model_Assumptions'!$C$8,AJ$17*(1+$C$8),IF(AK$16&gt;=('Model_Assumptions'!$C$8+1),AJ$17*(1+$D$8),""))))</f>
        <v/>
      </c>
      <c r="AL17" s="17">
        <f>IF(AL$16="","",IF(AL$16=('Model_Assumptions'!$B$8 +1),AK$17*(1+$E$8),IF(AL$16&lt;='Model_Assumptions'!$C$8,AK$17*(1+$C$8),IF(AL$16&gt;=('Model_Assumptions'!$C$8+1),AK$17*(1+$D$8),""))))</f>
        <v/>
      </c>
      <c r="AM17" s="17">
        <f>IF(AM$16="","",IF(AM$16=('Model_Assumptions'!$B$8 +1),AL$17*(1+$E$8),IF(AM$16&lt;='Model_Assumptions'!$C$8,AL$17*(1+$C$8),IF(AM$16&gt;=('Model_Assumptions'!$C$8+1),AL$17*(1+$D$8),""))))</f>
        <v/>
      </c>
      <c r="AN17" s="17">
        <f>IF(AN$16="","",IF(AN$16=('Model_Assumptions'!$B$8 +1),AM$17*(1+$E$8),IF(AN$16&lt;='Model_Assumptions'!$C$8,AM$17*(1+$C$8),IF(AN$16&gt;=('Model_Assumptions'!$C$8+1),AM$17*(1+$D$8),""))))</f>
        <v/>
      </c>
      <c r="AO17" s="17">
        <f>IF(AO$16="","",IF(AO$16=('Model_Assumptions'!$B$8 +1),AN$17*(1+$E$8),IF(AO$16&lt;='Model_Assumptions'!$C$8,AN$17*(1+$C$8),IF(AO$16&gt;=('Model_Assumptions'!$C$8+1),AN$17*(1+$D$8),""))))</f>
        <v/>
      </c>
      <c r="AP17" s="17">
        <f>IF(AP$16="","",IF(AP$16=('Model_Assumptions'!$B$8 +1),AO$17*(1+$E$8),IF(AP$16&lt;='Model_Assumptions'!$C$8,AO$17*(1+$C$8),IF(AP$16&gt;=('Model_Assumptions'!$C$8+1),AO$17*(1+$D$8),""))))</f>
        <v/>
      </c>
      <c r="AQ17" s="17">
        <f>IF(AQ$16="","",IF(AQ$16=('Model_Assumptions'!$B$8 +1),AP$17*(1+$E$8),IF(AQ$16&lt;='Model_Assumptions'!$C$8,AP$17*(1+$C$8),IF(AQ$16&gt;=('Model_Assumptions'!$C$8+1),AP$17*(1+$D$8),""))))</f>
        <v/>
      </c>
      <c r="AR17" s="17">
        <f>IF(AR$16="","",IF(AR$16=('Model_Assumptions'!$B$8 +1),AQ$17*(1+$E$8),IF(AR$16&lt;='Model_Assumptions'!$C$8,AQ$17*(1+$C$8),IF(AR$16&gt;=('Model_Assumptions'!$C$8+1),AQ$17*(1+$D$8),""))))</f>
        <v/>
      </c>
      <c r="AS17" s="17">
        <f>IF(AS$16="","",IF(AS$16=('Model_Assumptions'!$B$8 +1),AR$17*(1+$E$8),IF(AS$16&lt;='Model_Assumptions'!$C$8,AR$17*(1+$C$8),IF(AS$16&gt;=('Model_Assumptions'!$C$8+1),AR$17*(1+$D$8),""))))</f>
        <v/>
      </c>
      <c r="AT17" s="17">
        <f>IF(AT$16="","",IF(AT$16=('Model_Assumptions'!$B$8 +1),AS$17*(1+$E$8),IF(AT$16&lt;='Model_Assumptions'!$C$8,AS$17*(1+$C$8),IF(AT$16&gt;=('Model_Assumptions'!$C$8+1),AS$17*(1+$D$8),""))))</f>
        <v/>
      </c>
      <c r="AU17" s="17">
        <f>IF(AU$16="","",IF(AU$16=('Model_Assumptions'!$B$8 +1),AT$17*(1+$E$8),IF(AU$16&lt;='Model_Assumptions'!$C$8,AT$17*(1+$C$8),IF(AU$16&gt;=('Model_Assumptions'!$C$8+1),AT$17*(1+$D$8),""))))</f>
        <v/>
      </c>
      <c r="AV17" s="17">
        <f>IF(AV$16="","",IF(AV$16=('Model_Assumptions'!$B$8 +1),AU$17*(1+$E$8),IF(AV$16&lt;='Model_Assumptions'!$C$8,AU$17*(1+$C$8),IF(AV$16&gt;=('Model_Assumptions'!$C$8+1),AU$17*(1+$D$8),""))))</f>
        <v/>
      </c>
      <c r="AW17" s="17">
        <f>IF(AW$16="","",IF(AW$16=('Model_Assumptions'!$B$8 +1),AV$17*(1+$E$8),IF(AW$16&lt;='Model_Assumptions'!$C$8,AV$17*(1+$C$8),IF(AW$16&gt;=('Model_Assumptions'!$C$8+1),AV$17*(1+$D$8),""))))</f>
        <v/>
      </c>
      <c r="AX17" s="17">
        <f>IF(AX$16="","",IF(AX$16=('Model_Assumptions'!$B$8 +1),AW$17*(1+$E$8),IF(AX$16&lt;='Model_Assumptions'!$C$8,AW$17*(1+$C$8),IF(AX$16&gt;=('Model_Assumptions'!$C$8+1),AW$17*(1+$D$8),""))))</f>
        <v/>
      </c>
      <c r="AY17" s="17">
        <f>IF(AY$16="","",IF(AY$16=('Model_Assumptions'!$B$8 +1),AX$17*(1+$E$8),IF(AY$16&lt;='Model_Assumptions'!$C$8,AX$17*(1+$C$8),IF(AY$16&gt;=('Model_Assumptions'!$C$8+1),AX$17*(1+$D$8),""))))</f>
        <v/>
      </c>
      <c r="AZ17" s="17">
        <f>IF(AZ$16="","",IF(AZ$16=('Model_Assumptions'!$B$8 +1),AY$17*(1+$E$8),IF(AZ$16&lt;='Model_Assumptions'!$C$8,AY$17*(1+$C$8),IF(AZ$16&gt;=('Model_Assumptions'!$C$8+1),AY$17*(1+$D$8),""))))</f>
        <v/>
      </c>
      <c r="BA17" s="17">
        <f>IF(BA$16="","",IF(BA$16=('Model_Assumptions'!$B$8 +1),AZ$17*(1+$E$8),IF(BA$16&lt;='Model_Assumptions'!$C$8,AZ$17*(1+$C$8),IF(BA$16&gt;=('Model_Assumptions'!$C$8+1),AZ$17*(1+$D$8),""))))</f>
        <v/>
      </c>
      <c r="BB17" s="17">
        <f>IF(BB$16="","",IF(BB$16=('Model_Assumptions'!$B$8 +1),BA$17*(1+$E$8),IF(BB$16&lt;='Model_Assumptions'!$C$8,BA$17*(1+$C$8),IF(BB$16&gt;=('Model_Assumptions'!$C$8+1),BA$17*(1+$D$8),""))))</f>
        <v/>
      </c>
      <c r="BC17" s="17">
        <f>IF(BC$16="","",IF(BC$16=('Model_Assumptions'!$B$8 +1),BB$17*(1+$E$8),IF(BC$16&lt;='Model_Assumptions'!$C$8,BB$17*(1+$C$8),IF(BC$16&gt;=('Model_Assumptions'!$C$8+1),BB$17*(1+$D$8),""))))</f>
        <v/>
      </c>
      <c r="BD17" s="17">
        <f>IF(BD$16="","",IF(BD$16=('Model_Assumptions'!$B$8 +1),BC$17*(1+$E$8),IF(BD$16&lt;='Model_Assumptions'!$C$8,BC$17*(1+$C$8),IF(BD$16&gt;=('Model_Assumptions'!$C$8+1),BC$17*(1+$D$8),""))))</f>
        <v/>
      </c>
      <c r="BE17" s="17">
        <f>IF(BE$16="","",IF(BE$16=('Model_Assumptions'!$B$8 +1),BD$17*(1+$E$8),IF(BE$16&lt;='Model_Assumptions'!$C$8,BD$17*(1+$C$8),IF(BE$16&gt;=('Model_Assumptions'!$C$8+1),BD$17*(1+$D$8),""))))</f>
        <v/>
      </c>
      <c r="BF17" s="17">
        <f>IF(BF$16="","",IF(BF$16=('Model_Assumptions'!$B$8 +1),BE$17*(1+$E$8),IF(BF$16&lt;='Model_Assumptions'!$C$8,BE$17*(1+$C$8),IF(BF$16&gt;=('Model_Assumptions'!$C$8+1),BE$17*(1+$D$8),""))))</f>
        <v/>
      </c>
      <c r="BG17" s="17">
        <f>IF(BG$16="","",IF(BG$16=('Model_Assumptions'!$B$8 +1),BF$17*(1+$E$8),IF(BG$16&lt;='Model_Assumptions'!$C$8,BF$17*(1+$C$8),IF(BG$16&gt;=('Model_Assumptions'!$C$8+1),BF$17*(1+$D$8),""))))</f>
        <v/>
      </c>
      <c r="BH17" s="17">
        <f>IF(BH$16="","",IF(BH$16=('Model_Assumptions'!$B$8 +1),BG$17*(1+$E$8),IF(BH$16&lt;='Model_Assumptions'!$C$8,BG$17*(1+$C$8),IF(BH$16&gt;=('Model_Assumptions'!$C$8+1),BG$17*(1+$D$8),""))))</f>
        <v/>
      </c>
      <c r="BI17" s="17">
        <f>IF(BI$16="","",IF(BI$16=('Model_Assumptions'!$B$8 +1),BH$17*(1+$E$8),IF(BI$16&lt;='Model_Assumptions'!$C$8,BH$17*(1+$C$8),IF(BI$16&gt;=('Model_Assumptions'!$C$8+1),BH$17*(1+$D$8),""))))</f>
        <v/>
      </c>
      <c r="BJ17" s="17">
        <f>IF(BJ$16="","",IF(BJ$16=('Model_Assumptions'!$B$8 +1),BI$17*(1+$E$8),IF(BJ$16&lt;='Model_Assumptions'!$C$8,BI$17*(1+$C$8),IF(BJ$16&gt;=('Model_Assumptions'!$C$8+1),BI$17*(1+$D$8),""))))</f>
        <v/>
      </c>
      <c r="BK17" s="17">
        <f>IF(BK$16="","",IF(BK$16=('Model_Assumptions'!$B$8 +1),BJ$17*(1+$E$8),IF(BK$16&lt;='Model_Assumptions'!$C$8,BJ$17*(1+$C$8),IF(BK$16&gt;=('Model_Assumptions'!$C$8+1),BJ$17*(1+$D$8),""))))</f>
        <v/>
      </c>
      <c r="BL17" s="17">
        <f>IF(BL$16="","",IF(BL$16=('Model_Assumptions'!$B$8 +1),BK$17*(1+$E$8),IF(BL$16&lt;='Model_Assumptions'!$C$8,BK$17*(1+$C$8),IF(BL$16&gt;=('Model_Assumptions'!$C$8+1),BK$17*(1+$D$8),""))))</f>
        <v/>
      </c>
      <c r="BM17" s="17">
        <f>IF(BM$16="","",IF(BM$16=('Model_Assumptions'!$B$8 +1),BL$17*(1+$E$8),IF(BM$16&lt;='Model_Assumptions'!$C$8,BL$17*(1+$C$8),IF(BM$16&gt;=('Model_Assumptions'!$C$8+1),BL$17*(1+$D$8),""))))</f>
        <v/>
      </c>
      <c r="BN17" s="17">
        <f>IF(BN$16="","",IF(BN$16=('Model_Assumptions'!$B$8 +1),BM$17*(1+$E$8),IF(BN$16&lt;='Model_Assumptions'!$C$8,BM$17*(1+$C$8),IF(BN$16&gt;=('Model_Assumptions'!$C$8+1),BM$17*(1+$D$8),""))))</f>
        <v/>
      </c>
      <c r="BO17" s="17">
        <f>IF(BO$16="","",IF(BO$16=('Model_Assumptions'!$B$8 +1),BN$17*(1+$E$8),IF(BO$16&lt;='Model_Assumptions'!$C$8,BN$17*(1+$C$8),IF(BO$16&gt;=('Model_Assumptions'!$C$8+1),BN$17*(1+$D$8),""))))</f>
        <v/>
      </c>
      <c r="BP17" s="17">
        <f>IF(BP$16="","",IF(BP$16=('Model_Assumptions'!$B$8 +1),BO$17*(1+$E$8),IF(BP$16&lt;='Model_Assumptions'!$C$8,BO$17*(1+$C$8),IF(BP$16&gt;=('Model_Assumptions'!$C$8+1),BO$17*(1+$D$8),""))))</f>
        <v/>
      </c>
      <c r="BQ17" s="17">
        <f>IF(BQ$16="","",IF(BQ$16=('Model_Assumptions'!$B$8 +1),BP$17*(1+$E$8),IF(BQ$16&lt;='Model_Assumptions'!$C$8,BP$17*(1+$C$8),IF(BQ$16&gt;=('Model_Assumptions'!$C$8+1),BP$17*(1+$D$8),""))))</f>
        <v/>
      </c>
      <c r="BR17" s="17">
        <f>IF(BR$16="","",IF(BR$16=('Model_Assumptions'!$B$8 +1),BQ$17*(1+$E$8),IF(BR$16&lt;='Model_Assumptions'!$C$8,BQ$17*(1+$C$8),IF(BR$16&gt;=('Model_Assumptions'!$C$8+1),BQ$17*(1+$D$8),""))))</f>
        <v/>
      </c>
      <c r="BS17" s="17">
        <f>IF(BS$16="","",IF(BS$16=('Model_Assumptions'!$B$8 +1),BR$17*(1+$E$8),IF(BS$16&lt;='Model_Assumptions'!$C$8,BR$17*(1+$C$8),IF(BS$16&gt;=('Model_Assumptions'!$C$8+1),BR$17*(1+$D$8),""))))</f>
        <v/>
      </c>
      <c r="BT17" s="17">
        <f>IF(BT$16="","",IF(BT$16=('Model_Assumptions'!$B$8 +1),BS$17*(1+$E$8),IF(BT$16&lt;='Model_Assumptions'!$C$8,BS$17*(1+$C$8),IF(BT$16&gt;=('Model_Assumptions'!$C$8+1),BS$17*(1+$D$8),""))))</f>
        <v/>
      </c>
      <c r="BU17" s="17">
        <f>IF(BU$16="","",IF(BU$16=('Model_Assumptions'!$B$8 +1),BT$17*(1+$E$8),IF(BU$16&lt;='Model_Assumptions'!$C$8,BT$17*(1+$C$8),IF(BU$16&gt;=('Model_Assumptions'!$C$8+1),BT$17*(1+$D$8),""))))</f>
        <v/>
      </c>
      <c r="BV17" s="17">
        <f>IF(BV$16="","",IF(BV$16=('Model_Assumptions'!$B$8 +1),BU$17*(1+$E$8),IF(BV$16&lt;='Model_Assumptions'!$C$8,BU$17*(1+$C$8),IF(BV$16&gt;=('Model_Assumptions'!$C$8+1),BU$17*(1+$D$8),""))))</f>
        <v/>
      </c>
      <c r="BW17" s="17">
        <f>IF(BW$16="","",IF(BW$16=('Model_Assumptions'!$B$8 +1),BV$17*(1+$E$8),IF(BW$16&lt;='Model_Assumptions'!$C$8,BV$17*(1+$C$8),IF(BW$16&gt;=('Model_Assumptions'!$C$8+1),BV$17*(1+$D$8),""))))</f>
        <v/>
      </c>
      <c r="BX17" s="17">
        <f>IF(BX$16="","",IF(BX$16=('Model_Assumptions'!$B$8 +1),BW$17*(1+$E$8),IF(BX$16&lt;='Model_Assumptions'!$C$8,BW$17*(1+$C$8),IF(BX$16&gt;=('Model_Assumptions'!$C$8+1),BW$17*(1+$D$8),""))))</f>
        <v/>
      </c>
      <c r="BY17" s="17">
        <f>IF(BY$16="","",IF(BY$16=('Model_Assumptions'!$B$8 +1),BX$17*(1+$E$8),IF(BY$16&lt;='Model_Assumptions'!$C$8,BX$17*(1+$C$8),IF(BY$16&gt;=('Model_Assumptions'!$C$8+1),BX$17*(1+$D$8),""))))</f>
        <v/>
      </c>
      <c r="BZ17" s="17">
        <f>IF(BZ$16="","",IF(BZ$16=('Model_Assumptions'!$B$8 +1),BY$17*(1+$E$8),IF(BZ$16&lt;='Model_Assumptions'!$C$8,BY$17*(1+$C$8),IF(BZ$16&gt;=('Model_Assumptions'!$C$8+1),BY$17*(1+$D$8),""))))</f>
        <v/>
      </c>
      <c r="CA17" s="17">
        <f>IF(CA$16="","",IF(CA$16=('Model_Assumptions'!$B$8 +1),BZ$17*(1+$E$8),IF(CA$16&lt;='Model_Assumptions'!$C$8,BZ$17*(1+$C$8),IF(CA$16&gt;=('Model_Assumptions'!$C$8+1),BZ$17*(1+$D$8),""))))</f>
        <v/>
      </c>
      <c r="CB17" s="17">
        <f>IF(CB$16="","",IF(CB$16=('Model_Assumptions'!$B$8 +1),CA$17*(1+$E$8),IF(CB$16&lt;='Model_Assumptions'!$C$8,CA$17*(1+$C$8),IF(CB$16&gt;=('Model_Assumptions'!$C$8+1),CA$17*(1+$D$8),""))))</f>
        <v/>
      </c>
      <c r="CC17" s="17">
        <f>IF(CC$16="","",IF(CC$16=('Model_Assumptions'!$B$8 +1),CB$17*(1+$E$8),IF(CC$16&lt;='Model_Assumptions'!$C$8,CB$17*(1+$C$8),IF(CC$16&gt;=('Model_Assumptions'!$C$8+1),CB$17*(1+$D$8),""))))</f>
        <v/>
      </c>
      <c r="CD17" s="17">
        <f>IF(CD$16="","",IF(CD$16=('Model_Assumptions'!$B$8 +1),CC$17*(1+$E$8),IF(CD$16&lt;='Model_Assumptions'!$C$8,CC$17*(1+$C$8),IF(CD$16&gt;=('Model_Assumptions'!$C$8+1),CC$17*(1+$D$8),""))))</f>
        <v/>
      </c>
      <c r="CE17" s="17">
        <f>IF(CE$16="","",IF(CE$16=('Model_Assumptions'!$B$8 +1),CD$17*(1+$E$8),IF(CE$16&lt;='Model_Assumptions'!$C$8,CD$17*(1+$C$8),IF(CE$16&gt;=('Model_Assumptions'!$C$8+1),CD$17*(1+$D$8),""))))</f>
        <v/>
      </c>
      <c r="CF17" s="17">
        <f>IF(CF$16="","",IF(CF$16=('Model_Assumptions'!$B$8 +1),CE$17*(1+$E$8),IF(CF$16&lt;='Model_Assumptions'!$C$8,CE$17*(1+$C$8),IF(CF$16&gt;=('Model_Assumptions'!$C$8+1),CE$17*(1+$D$8),""))))</f>
        <v/>
      </c>
      <c r="CG17" s="17">
        <f>IF(CG$16="","",IF(CG$16=('Model_Assumptions'!$B$8 +1),CF$17*(1+$E$8),IF(CG$16&lt;='Model_Assumptions'!$C$8,CF$17*(1+$C$8),IF(CG$16&gt;=('Model_Assumptions'!$C$8+1),CF$17*(1+$D$8),""))))</f>
        <v/>
      </c>
      <c r="CH17" s="17">
        <f>IF(CH$16="","",IF(CH$16=('Model_Assumptions'!$B$8 +1),CG$17*(1+$E$8),IF(CH$16&lt;='Model_Assumptions'!$C$8,CG$17*(1+$C$8),IF(CH$16&gt;=('Model_Assumptions'!$C$8+1),CG$17*(1+$D$8),""))))</f>
        <v/>
      </c>
      <c r="CI17" s="17">
        <f>IF(CI$16="","",IF(CI$16=('Model_Assumptions'!$B$8 +1),CH$17*(1+$E$8),IF(CI$16&lt;='Model_Assumptions'!$C$8,CH$17*(1+$C$8),IF(CI$16&gt;=('Model_Assumptions'!$C$8+1),CH$17*(1+$D$8),""))))</f>
        <v/>
      </c>
      <c r="CJ17" s="17">
        <f>IF(CJ$16="","",IF(CJ$16=('Model_Assumptions'!$B$8 +1),CI$17*(1+$E$8),IF(CJ$16&lt;='Model_Assumptions'!$C$8,CI$17*(1+$C$8),IF(CJ$16&gt;=('Model_Assumptions'!$C$8+1),CI$17*(1+$D$8),""))))</f>
        <v/>
      </c>
      <c r="CK17" s="17">
        <f>IF(CK$16="","",IF(CK$16=('Model_Assumptions'!$B$8 +1),CJ$17*(1+$E$8),IF(CK$16&lt;='Model_Assumptions'!$C$8,CJ$17*(1+$C$8),IF(CK$16&gt;=('Model_Assumptions'!$C$8+1),CJ$17*(1+$D$8),""))))</f>
        <v/>
      </c>
      <c r="CL17" s="17">
        <f>IF(CL$16="","",IF(CL$16=('Model_Assumptions'!$B$8 +1),CK$17*(1+$E$8),IF(CL$16&lt;='Model_Assumptions'!$C$8,CK$17*(1+$C$8),IF(CL$16&gt;=('Model_Assumptions'!$C$8+1),CK$17*(1+$D$8),""))))</f>
        <v/>
      </c>
      <c r="CM17" s="18">
        <f>IF(CM$16="","",IF(CM$16=('Model_Assumptions'!$B$8 +1),CL$17*(1+$E$8),IF(CM$16&lt;='Model_Assumptions'!$C$8,CL$17*(1+$C$8),IF(CM$16&gt;=('Model_Assumptions'!$C$8+1),CL$17*(1+$D$8),""))))</f>
        <v/>
      </c>
    </row>
    <row r="18">
      <c r="B18" s="19" t="inlineStr">
        <is>
          <t>EBITDA</t>
        </is>
      </c>
      <c r="C18" s="20" t="inlineStr"/>
      <c r="D18" s="21">
        <f>IF(D$16="","",IF(D$16=('Model_Assumptions'!$B$8+1), D$17*$E$10,IF(D$16&lt;='Model_Assumptions'!$C$8,D$17*$C$10,IF(D$16&gt;=('Model_Assumptions'!$C$8 + 1), D$17*$D$10, ""))))</f>
        <v/>
      </c>
      <c r="E18" s="21">
        <f>IF(E$16="","",IF(E$16=('Model_Assumptions'!$B$8+1), E$17*$E$10,IF(E$16&lt;='Model_Assumptions'!$C$8,E$17*$C$10,IF(E$16&gt;=('Model_Assumptions'!$C$8 + 1), E$17*$D$10, ""))))</f>
        <v/>
      </c>
      <c r="F18" s="21">
        <f>IF(F$16="","",IF(F$16=('Model_Assumptions'!$B$8+1), F$17*$E$10,IF(F$16&lt;='Model_Assumptions'!$C$8,F$17*$C$10,IF(F$16&gt;=('Model_Assumptions'!$C$8 + 1), F$17*$D$10, ""))))</f>
        <v/>
      </c>
      <c r="G18" s="21">
        <f>IF(G$16="","",IF(G$16=('Model_Assumptions'!$B$8+1), G$17*$E$10,IF(G$16&lt;='Model_Assumptions'!$C$8,G$17*$C$10,IF(G$16&gt;=('Model_Assumptions'!$C$8 + 1), G$17*$D$10, ""))))</f>
        <v/>
      </c>
      <c r="H18" s="21">
        <f>IF(H$16="","",IF(H$16=('Model_Assumptions'!$B$8+1), H$17*$E$10,IF(H$16&lt;='Model_Assumptions'!$C$8,H$17*$C$10,IF(H$16&gt;=('Model_Assumptions'!$C$8 + 1), H$17*$D$10, ""))))</f>
        <v/>
      </c>
      <c r="I18" s="21">
        <f>IF(I$16="","",IF(I$16=('Model_Assumptions'!$B$8+1), I$17*$E$10,IF(I$16&lt;='Model_Assumptions'!$C$8,I$17*$C$10,IF(I$16&gt;=('Model_Assumptions'!$C$8 + 1), I$17*$D$10, ""))))</f>
        <v/>
      </c>
      <c r="J18" s="21">
        <f>IF(J$16="","",IF(J$16=('Model_Assumptions'!$B$8+1), J$17*$E$10,IF(J$16&lt;='Model_Assumptions'!$C$8,J$17*$C$10,IF(J$16&gt;=('Model_Assumptions'!$C$8 + 1), J$17*$D$10, ""))))</f>
        <v/>
      </c>
      <c r="K18" s="21">
        <f>IF(K$16="","",IF(K$16=('Model_Assumptions'!$B$8+1), K$17*$E$10,IF(K$16&lt;='Model_Assumptions'!$C$8,K$17*$C$10,IF(K$16&gt;=('Model_Assumptions'!$C$8 + 1), K$17*$D$10, ""))))</f>
        <v/>
      </c>
      <c r="L18" s="21">
        <f>IF(L$16="","",IF(L$16=('Model_Assumptions'!$B$8+1), L$17*$E$10,IF(L$16&lt;='Model_Assumptions'!$C$8,L$17*$C$10,IF(L$16&gt;=('Model_Assumptions'!$C$8 + 1), L$17*$D$10, ""))))</f>
        <v/>
      </c>
      <c r="M18" s="21">
        <f>IF(M$16="","",IF(M$16=('Model_Assumptions'!$B$8+1), M$17*$E$10,IF(M$16&lt;='Model_Assumptions'!$C$8,M$17*$C$10,IF(M$16&gt;=('Model_Assumptions'!$C$8 + 1), M$17*$D$10, ""))))</f>
        <v/>
      </c>
      <c r="N18" s="21">
        <f>IF(N$16="","",IF(N$16=('Model_Assumptions'!$B$8+1), N$17*$E$10,IF(N$16&lt;='Model_Assumptions'!$C$8,N$17*$C$10,IF(N$16&gt;=('Model_Assumptions'!$C$8 + 1), N$17*$D$10, ""))))</f>
        <v/>
      </c>
      <c r="O18" s="21">
        <f>IF(O$16="","",IF(O$16=('Model_Assumptions'!$B$8+1), O$17*$E$10,IF(O$16&lt;='Model_Assumptions'!$C$8,O$17*$C$10,IF(O$16&gt;=('Model_Assumptions'!$C$8 + 1), O$17*$D$10, ""))))</f>
        <v/>
      </c>
      <c r="P18" s="21">
        <f>IF(P$16="","",IF(P$16=('Model_Assumptions'!$B$8+1), P$17*$E$10,IF(P$16&lt;='Model_Assumptions'!$C$8,P$17*$C$10,IF(P$16&gt;=('Model_Assumptions'!$C$8 + 1), P$17*$D$10, ""))))</f>
        <v/>
      </c>
      <c r="Q18" s="21">
        <f>IF(Q$16="","",IF(Q$16=('Model_Assumptions'!$B$8+1), Q$17*$E$10,IF(Q$16&lt;='Model_Assumptions'!$C$8,Q$17*$C$10,IF(Q$16&gt;=('Model_Assumptions'!$C$8 + 1), Q$17*$D$10, ""))))</f>
        <v/>
      </c>
      <c r="R18" s="21">
        <f>IF(R$16="","",IF(R$16=('Model_Assumptions'!$B$8+1), R$17*$E$10,IF(R$16&lt;='Model_Assumptions'!$C$8,R$17*$C$10,IF(R$16&gt;=('Model_Assumptions'!$C$8 + 1), R$17*$D$10, ""))))</f>
        <v/>
      </c>
      <c r="S18" s="21">
        <f>IF(S$16="","",IF(S$16=('Model_Assumptions'!$B$8+1), S$17*$E$10,IF(S$16&lt;='Model_Assumptions'!$C$8,S$17*$C$10,IF(S$16&gt;=('Model_Assumptions'!$C$8 + 1), S$17*$D$10, ""))))</f>
        <v/>
      </c>
      <c r="T18" s="21">
        <f>IF(T$16="","",IF(T$16=('Model_Assumptions'!$B$8+1), T$17*$E$10,IF(T$16&lt;='Model_Assumptions'!$C$8,T$17*$C$10,IF(T$16&gt;=('Model_Assumptions'!$C$8 + 1), T$17*$D$10, ""))))</f>
        <v/>
      </c>
      <c r="U18" s="21">
        <f>IF(U$16="","",IF(U$16=('Model_Assumptions'!$B$8+1), U$17*$E$10,IF(U$16&lt;='Model_Assumptions'!$C$8,U$17*$C$10,IF(U$16&gt;=('Model_Assumptions'!$C$8 + 1), U$17*$D$10, ""))))</f>
        <v/>
      </c>
      <c r="V18" s="21">
        <f>IF(V$16="","",IF(V$16=('Model_Assumptions'!$B$8+1), V$17*$E$10,IF(V$16&lt;='Model_Assumptions'!$C$8,V$17*$C$10,IF(V$16&gt;=('Model_Assumptions'!$C$8 + 1), V$17*$D$10, ""))))</f>
        <v/>
      </c>
      <c r="W18" s="21">
        <f>IF(W$16="","",IF(W$16=('Model_Assumptions'!$B$8+1), W$17*$E$10,IF(W$16&lt;='Model_Assumptions'!$C$8,W$17*$C$10,IF(W$16&gt;=('Model_Assumptions'!$C$8 + 1), W$17*$D$10, ""))))</f>
        <v/>
      </c>
      <c r="X18" s="21">
        <f>IF(X$16="","",IF(X$16=('Model_Assumptions'!$B$8+1), X$17*$E$10,IF(X$16&lt;='Model_Assumptions'!$C$8,X$17*$C$10,IF(X$16&gt;=('Model_Assumptions'!$C$8 + 1), X$17*$D$10, ""))))</f>
        <v/>
      </c>
      <c r="Y18" s="21">
        <f>IF(Y$16="","",IF(Y$16=('Model_Assumptions'!$B$8+1), Y$17*$E$10,IF(Y$16&lt;='Model_Assumptions'!$C$8,Y$17*$C$10,IF(Y$16&gt;=('Model_Assumptions'!$C$8 + 1), Y$17*$D$10, ""))))</f>
        <v/>
      </c>
      <c r="Z18" s="21">
        <f>IF(Z$16="","",IF(Z$16=('Model_Assumptions'!$B$8+1), Z$17*$E$10,IF(Z$16&lt;='Model_Assumptions'!$C$8,Z$17*$C$10,IF(Z$16&gt;=('Model_Assumptions'!$C$8 + 1), Z$17*$D$10, ""))))</f>
        <v/>
      </c>
      <c r="AA18" s="21">
        <f>IF(AA$16="","",IF(AA$16=('Model_Assumptions'!$B$8+1), AA$17*$E$10,IF(AA$16&lt;='Model_Assumptions'!$C$8,AA$17*$C$10,IF(AA$16&gt;=('Model_Assumptions'!$C$8 + 1), AA$17*$D$10, ""))))</f>
        <v/>
      </c>
      <c r="AB18" s="21">
        <f>IF(AB$16="","",IF(AB$16=('Model_Assumptions'!$B$8+1), AB$17*$E$10,IF(AB$16&lt;='Model_Assumptions'!$C$8,AB$17*$C$10,IF(AB$16&gt;=('Model_Assumptions'!$C$8 + 1), AB$17*$D$10, ""))))</f>
        <v/>
      </c>
      <c r="AC18" s="21">
        <f>IF(AC$16="","",IF(AC$16=('Model_Assumptions'!$B$8+1), AC$17*$E$10,IF(AC$16&lt;='Model_Assumptions'!$C$8,AC$17*$C$10,IF(AC$16&gt;=('Model_Assumptions'!$C$8 + 1), AC$17*$D$10, ""))))</f>
        <v/>
      </c>
      <c r="AD18" s="21">
        <f>IF(AD$16="","",IF(AD$16=('Model_Assumptions'!$B$8+1), AD$17*$E$10,IF(AD$16&lt;='Model_Assumptions'!$C$8,AD$17*$C$10,IF(AD$16&gt;=('Model_Assumptions'!$C$8 + 1), AD$17*$D$10, ""))))</f>
        <v/>
      </c>
      <c r="AE18" s="21">
        <f>IF(AE$16="","",IF(AE$16=('Model_Assumptions'!$B$8+1), AE$17*$E$10,IF(AE$16&lt;='Model_Assumptions'!$C$8,AE$17*$C$10,IF(AE$16&gt;=('Model_Assumptions'!$C$8 + 1), AE$17*$D$10, ""))))</f>
        <v/>
      </c>
      <c r="AF18" s="21">
        <f>IF(AF$16="","",IF(AF$16=('Model_Assumptions'!$B$8+1), AF$17*$E$10,IF(AF$16&lt;='Model_Assumptions'!$C$8,AF$17*$C$10,IF(AF$16&gt;=('Model_Assumptions'!$C$8 + 1), AF$17*$D$10, ""))))</f>
        <v/>
      </c>
      <c r="AG18" s="21">
        <f>IF(AG$16="","",IF(AG$16=('Model_Assumptions'!$B$8+1), AG$17*$E$10,IF(AG$16&lt;='Model_Assumptions'!$C$8,AG$17*$C$10,IF(AG$16&gt;=('Model_Assumptions'!$C$8 + 1), AG$17*$D$10, ""))))</f>
        <v/>
      </c>
      <c r="AH18" s="21">
        <f>IF(AH$16="","",IF(AH$16=('Model_Assumptions'!$B$8+1), AH$17*$E$10,IF(AH$16&lt;='Model_Assumptions'!$C$8,AH$17*$C$10,IF(AH$16&gt;=('Model_Assumptions'!$C$8 + 1), AH$17*$D$10, ""))))</f>
        <v/>
      </c>
      <c r="AI18" s="21">
        <f>IF(AI$16="","",IF(AI$16=('Model_Assumptions'!$B$8+1), AI$17*$E$10,IF(AI$16&lt;='Model_Assumptions'!$C$8,AI$17*$C$10,IF(AI$16&gt;=('Model_Assumptions'!$C$8 + 1), AI$17*$D$10, ""))))</f>
        <v/>
      </c>
      <c r="AJ18" s="21">
        <f>IF(AJ$16="","",IF(AJ$16=('Model_Assumptions'!$B$8+1), AJ$17*$E$10,IF(AJ$16&lt;='Model_Assumptions'!$C$8,AJ$17*$C$10,IF(AJ$16&gt;=('Model_Assumptions'!$C$8 + 1), AJ$17*$D$10, ""))))</f>
        <v/>
      </c>
      <c r="AK18" s="21">
        <f>IF(AK$16="","",IF(AK$16=('Model_Assumptions'!$B$8+1), AK$17*$E$10,IF(AK$16&lt;='Model_Assumptions'!$C$8,AK$17*$C$10,IF(AK$16&gt;=('Model_Assumptions'!$C$8 + 1), AK$17*$D$10, ""))))</f>
        <v/>
      </c>
      <c r="AL18" s="21">
        <f>IF(AL$16="","",IF(AL$16=('Model_Assumptions'!$B$8+1), AL$17*$E$10,IF(AL$16&lt;='Model_Assumptions'!$C$8,AL$17*$C$10,IF(AL$16&gt;=('Model_Assumptions'!$C$8 + 1), AL$17*$D$10, ""))))</f>
        <v/>
      </c>
      <c r="AM18" s="21">
        <f>IF(AM$16="","",IF(AM$16=('Model_Assumptions'!$B$8+1), AM$17*$E$10,IF(AM$16&lt;='Model_Assumptions'!$C$8,AM$17*$C$10,IF(AM$16&gt;=('Model_Assumptions'!$C$8 + 1), AM$17*$D$10, ""))))</f>
        <v/>
      </c>
      <c r="AN18" s="21">
        <f>IF(AN$16="","",IF(AN$16=('Model_Assumptions'!$B$8+1), AN$17*$E$10,IF(AN$16&lt;='Model_Assumptions'!$C$8,AN$17*$C$10,IF(AN$16&gt;=('Model_Assumptions'!$C$8 + 1), AN$17*$D$10, ""))))</f>
        <v/>
      </c>
      <c r="AO18" s="21">
        <f>IF(AO$16="","",IF(AO$16=('Model_Assumptions'!$B$8+1), AO$17*$E$10,IF(AO$16&lt;='Model_Assumptions'!$C$8,AO$17*$C$10,IF(AO$16&gt;=('Model_Assumptions'!$C$8 + 1), AO$17*$D$10, ""))))</f>
        <v/>
      </c>
      <c r="AP18" s="21">
        <f>IF(AP$16="","",IF(AP$16=('Model_Assumptions'!$B$8+1), AP$17*$E$10,IF(AP$16&lt;='Model_Assumptions'!$C$8,AP$17*$C$10,IF(AP$16&gt;=('Model_Assumptions'!$C$8 + 1), AP$17*$D$10, ""))))</f>
        <v/>
      </c>
      <c r="AQ18" s="21">
        <f>IF(AQ$16="","",IF(AQ$16=('Model_Assumptions'!$B$8+1), AQ$17*$E$10,IF(AQ$16&lt;='Model_Assumptions'!$C$8,AQ$17*$C$10,IF(AQ$16&gt;=('Model_Assumptions'!$C$8 + 1), AQ$17*$D$10, ""))))</f>
        <v/>
      </c>
      <c r="AR18" s="21">
        <f>IF(AR$16="","",IF(AR$16=('Model_Assumptions'!$B$8+1), AR$17*$E$10,IF(AR$16&lt;='Model_Assumptions'!$C$8,AR$17*$C$10,IF(AR$16&gt;=('Model_Assumptions'!$C$8 + 1), AR$17*$D$10, ""))))</f>
        <v/>
      </c>
      <c r="AS18" s="21">
        <f>IF(AS$16="","",IF(AS$16=('Model_Assumptions'!$B$8+1), AS$17*$E$10,IF(AS$16&lt;='Model_Assumptions'!$C$8,AS$17*$C$10,IF(AS$16&gt;=('Model_Assumptions'!$C$8 + 1), AS$17*$D$10, ""))))</f>
        <v/>
      </c>
      <c r="AT18" s="21">
        <f>IF(AT$16="","",IF(AT$16=('Model_Assumptions'!$B$8+1), AT$17*$E$10,IF(AT$16&lt;='Model_Assumptions'!$C$8,AT$17*$C$10,IF(AT$16&gt;=('Model_Assumptions'!$C$8 + 1), AT$17*$D$10, ""))))</f>
        <v/>
      </c>
      <c r="AU18" s="21">
        <f>IF(AU$16="","",IF(AU$16=('Model_Assumptions'!$B$8+1), AU$17*$E$10,IF(AU$16&lt;='Model_Assumptions'!$C$8,AU$17*$C$10,IF(AU$16&gt;=('Model_Assumptions'!$C$8 + 1), AU$17*$D$10, ""))))</f>
        <v/>
      </c>
      <c r="AV18" s="21">
        <f>IF(AV$16="","",IF(AV$16=('Model_Assumptions'!$B$8+1), AV$17*$E$10,IF(AV$16&lt;='Model_Assumptions'!$C$8,AV$17*$C$10,IF(AV$16&gt;=('Model_Assumptions'!$C$8 + 1), AV$17*$D$10, ""))))</f>
        <v/>
      </c>
      <c r="AW18" s="21">
        <f>IF(AW$16="","",IF(AW$16=('Model_Assumptions'!$B$8+1), AW$17*$E$10,IF(AW$16&lt;='Model_Assumptions'!$C$8,AW$17*$C$10,IF(AW$16&gt;=('Model_Assumptions'!$C$8 + 1), AW$17*$D$10, ""))))</f>
        <v/>
      </c>
      <c r="AX18" s="21">
        <f>IF(AX$16="","",IF(AX$16=('Model_Assumptions'!$B$8+1), AX$17*$E$10,IF(AX$16&lt;='Model_Assumptions'!$C$8,AX$17*$C$10,IF(AX$16&gt;=('Model_Assumptions'!$C$8 + 1), AX$17*$D$10, ""))))</f>
        <v/>
      </c>
      <c r="AY18" s="21">
        <f>IF(AY$16="","",IF(AY$16=('Model_Assumptions'!$B$8+1), AY$17*$E$10,IF(AY$16&lt;='Model_Assumptions'!$C$8,AY$17*$C$10,IF(AY$16&gt;=('Model_Assumptions'!$C$8 + 1), AY$17*$D$10, ""))))</f>
        <v/>
      </c>
      <c r="AZ18" s="21">
        <f>IF(AZ$16="","",IF(AZ$16=('Model_Assumptions'!$B$8+1), AZ$17*$E$10,IF(AZ$16&lt;='Model_Assumptions'!$C$8,AZ$17*$C$10,IF(AZ$16&gt;=('Model_Assumptions'!$C$8 + 1), AZ$17*$D$10, ""))))</f>
        <v/>
      </c>
      <c r="BA18" s="21">
        <f>IF(BA$16="","",IF(BA$16=('Model_Assumptions'!$B$8+1), BA$17*$E$10,IF(BA$16&lt;='Model_Assumptions'!$C$8,BA$17*$C$10,IF(BA$16&gt;=('Model_Assumptions'!$C$8 + 1), BA$17*$D$10, ""))))</f>
        <v/>
      </c>
      <c r="BB18" s="21">
        <f>IF(BB$16="","",IF(BB$16=('Model_Assumptions'!$B$8+1), BB$17*$E$10,IF(BB$16&lt;='Model_Assumptions'!$C$8,BB$17*$C$10,IF(BB$16&gt;=('Model_Assumptions'!$C$8 + 1), BB$17*$D$10, ""))))</f>
        <v/>
      </c>
      <c r="BC18" s="21">
        <f>IF(BC$16="","",IF(BC$16=('Model_Assumptions'!$B$8+1), BC$17*$E$10,IF(BC$16&lt;='Model_Assumptions'!$C$8,BC$17*$C$10,IF(BC$16&gt;=('Model_Assumptions'!$C$8 + 1), BC$17*$D$10, ""))))</f>
        <v/>
      </c>
      <c r="BD18" s="21">
        <f>IF(BD$16="","",IF(BD$16=('Model_Assumptions'!$B$8+1), BD$17*$E$10,IF(BD$16&lt;='Model_Assumptions'!$C$8,BD$17*$C$10,IF(BD$16&gt;=('Model_Assumptions'!$C$8 + 1), BD$17*$D$10, ""))))</f>
        <v/>
      </c>
      <c r="BE18" s="21">
        <f>IF(BE$16="","",IF(BE$16=('Model_Assumptions'!$B$8+1), BE$17*$E$10,IF(BE$16&lt;='Model_Assumptions'!$C$8,BE$17*$C$10,IF(BE$16&gt;=('Model_Assumptions'!$C$8 + 1), BE$17*$D$10, ""))))</f>
        <v/>
      </c>
      <c r="BF18" s="21">
        <f>IF(BF$16="","",IF(BF$16=('Model_Assumptions'!$B$8+1), BF$17*$E$10,IF(BF$16&lt;='Model_Assumptions'!$C$8,BF$17*$C$10,IF(BF$16&gt;=('Model_Assumptions'!$C$8 + 1), BF$17*$D$10, ""))))</f>
        <v/>
      </c>
      <c r="BG18" s="21">
        <f>IF(BG$16="","",IF(BG$16=('Model_Assumptions'!$B$8+1), BG$17*$E$10,IF(BG$16&lt;='Model_Assumptions'!$C$8,BG$17*$C$10,IF(BG$16&gt;=('Model_Assumptions'!$C$8 + 1), BG$17*$D$10, ""))))</f>
        <v/>
      </c>
      <c r="BH18" s="21">
        <f>IF(BH$16="","",IF(BH$16=('Model_Assumptions'!$B$8+1), BH$17*$E$10,IF(BH$16&lt;='Model_Assumptions'!$C$8,BH$17*$C$10,IF(BH$16&gt;=('Model_Assumptions'!$C$8 + 1), BH$17*$D$10, ""))))</f>
        <v/>
      </c>
      <c r="BI18" s="21">
        <f>IF(BI$16="","",IF(BI$16=('Model_Assumptions'!$B$8+1), BI$17*$E$10,IF(BI$16&lt;='Model_Assumptions'!$C$8,BI$17*$C$10,IF(BI$16&gt;=('Model_Assumptions'!$C$8 + 1), BI$17*$D$10, ""))))</f>
        <v/>
      </c>
      <c r="BJ18" s="21">
        <f>IF(BJ$16="","",IF(BJ$16=('Model_Assumptions'!$B$8+1), BJ$17*$E$10,IF(BJ$16&lt;='Model_Assumptions'!$C$8,BJ$17*$C$10,IF(BJ$16&gt;=('Model_Assumptions'!$C$8 + 1), BJ$17*$D$10, ""))))</f>
        <v/>
      </c>
      <c r="BK18" s="21">
        <f>IF(BK$16="","",IF(BK$16=('Model_Assumptions'!$B$8+1), BK$17*$E$10,IF(BK$16&lt;='Model_Assumptions'!$C$8,BK$17*$C$10,IF(BK$16&gt;=('Model_Assumptions'!$C$8 + 1), BK$17*$D$10, ""))))</f>
        <v/>
      </c>
      <c r="BL18" s="21">
        <f>IF(BL$16="","",IF(BL$16=('Model_Assumptions'!$B$8+1), BL$17*$E$10,IF(BL$16&lt;='Model_Assumptions'!$C$8,BL$17*$C$10,IF(BL$16&gt;=('Model_Assumptions'!$C$8 + 1), BL$17*$D$10, ""))))</f>
        <v/>
      </c>
      <c r="BM18" s="21">
        <f>IF(BM$16="","",IF(BM$16=('Model_Assumptions'!$B$8+1), BM$17*$E$10,IF(BM$16&lt;='Model_Assumptions'!$C$8,BM$17*$C$10,IF(BM$16&gt;=('Model_Assumptions'!$C$8 + 1), BM$17*$D$10, ""))))</f>
        <v/>
      </c>
      <c r="BN18" s="21">
        <f>IF(BN$16="","",IF(BN$16=('Model_Assumptions'!$B$8+1), BN$17*$E$10,IF(BN$16&lt;='Model_Assumptions'!$C$8,BN$17*$C$10,IF(BN$16&gt;=('Model_Assumptions'!$C$8 + 1), BN$17*$D$10, ""))))</f>
        <v/>
      </c>
      <c r="BO18" s="21">
        <f>IF(BO$16="","",IF(BO$16=('Model_Assumptions'!$B$8+1), BO$17*$E$10,IF(BO$16&lt;='Model_Assumptions'!$C$8,BO$17*$C$10,IF(BO$16&gt;=('Model_Assumptions'!$C$8 + 1), BO$17*$D$10, ""))))</f>
        <v/>
      </c>
      <c r="BP18" s="21">
        <f>IF(BP$16="","",IF(BP$16=('Model_Assumptions'!$B$8+1), BP$17*$E$10,IF(BP$16&lt;='Model_Assumptions'!$C$8,BP$17*$C$10,IF(BP$16&gt;=('Model_Assumptions'!$C$8 + 1), BP$17*$D$10, ""))))</f>
        <v/>
      </c>
      <c r="BQ18" s="21">
        <f>IF(BQ$16="","",IF(BQ$16=('Model_Assumptions'!$B$8+1), BQ$17*$E$10,IF(BQ$16&lt;='Model_Assumptions'!$C$8,BQ$17*$C$10,IF(BQ$16&gt;=('Model_Assumptions'!$C$8 + 1), BQ$17*$D$10, ""))))</f>
        <v/>
      </c>
      <c r="BR18" s="21">
        <f>IF(BR$16="","",IF(BR$16=('Model_Assumptions'!$B$8+1), BR$17*$E$10,IF(BR$16&lt;='Model_Assumptions'!$C$8,BR$17*$C$10,IF(BR$16&gt;=('Model_Assumptions'!$C$8 + 1), BR$17*$D$10, ""))))</f>
        <v/>
      </c>
      <c r="BS18" s="21">
        <f>IF(BS$16="","",IF(BS$16=('Model_Assumptions'!$B$8+1), BS$17*$E$10,IF(BS$16&lt;='Model_Assumptions'!$C$8,BS$17*$C$10,IF(BS$16&gt;=('Model_Assumptions'!$C$8 + 1), BS$17*$D$10, ""))))</f>
        <v/>
      </c>
      <c r="BT18" s="21">
        <f>IF(BT$16="","",IF(BT$16=('Model_Assumptions'!$B$8+1), BT$17*$E$10,IF(BT$16&lt;='Model_Assumptions'!$C$8,BT$17*$C$10,IF(BT$16&gt;=('Model_Assumptions'!$C$8 + 1), BT$17*$D$10, ""))))</f>
        <v/>
      </c>
      <c r="BU18" s="21">
        <f>IF(BU$16="","",IF(BU$16=('Model_Assumptions'!$B$8+1), BU$17*$E$10,IF(BU$16&lt;='Model_Assumptions'!$C$8,BU$17*$C$10,IF(BU$16&gt;=('Model_Assumptions'!$C$8 + 1), BU$17*$D$10, ""))))</f>
        <v/>
      </c>
      <c r="BV18" s="21">
        <f>IF(BV$16="","",IF(BV$16=('Model_Assumptions'!$B$8+1), BV$17*$E$10,IF(BV$16&lt;='Model_Assumptions'!$C$8,BV$17*$C$10,IF(BV$16&gt;=('Model_Assumptions'!$C$8 + 1), BV$17*$D$10, ""))))</f>
        <v/>
      </c>
      <c r="BW18" s="21">
        <f>IF(BW$16="","",IF(BW$16=('Model_Assumptions'!$B$8+1), BW$17*$E$10,IF(BW$16&lt;='Model_Assumptions'!$C$8,BW$17*$C$10,IF(BW$16&gt;=('Model_Assumptions'!$C$8 + 1), BW$17*$D$10, ""))))</f>
        <v/>
      </c>
      <c r="BX18" s="21">
        <f>IF(BX$16="","",IF(BX$16=('Model_Assumptions'!$B$8+1), BX$17*$E$10,IF(BX$16&lt;='Model_Assumptions'!$C$8,BX$17*$C$10,IF(BX$16&gt;=('Model_Assumptions'!$C$8 + 1), BX$17*$D$10, ""))))</f>
        <v/>
      </c>
      <c r="BY18" s="21">
        <f>IF(BY$16="","",IF(BY$16=('Model_Assumptions'!$B$8+1), BY$17*$E$10,IF(BY$16&lt;='Model_Assumptions'!$C$8,BY$17*$C$10,IF(BY$16&gt;=('Model_Assumptions'!$C$8 + 1), BY$17*$D$10, ""))))</f>
        <v/>
      </c>
      <c r="BZ18" s="21">
        <f>IF(BZ$16="","",IF(BZ$16=('Model_Assumptions'!$B$8+1), BZ$17*$E$10,IF(BZ$16&lt;='Model_Assumptions'!$C$8,BZ$17*$C$10,IF(BZ$16&gt;=('Model_Assumptions'!$C$8 + 1), BZ$17*$D$10, ""))))</f>
        <v/>
      </c>
      <c r="CA18" s="21">
        <f>IF(CA$16="","",IF(CA$16=('Model_Assumptions'!$B$8+1), CA$17*$E$10,IF(CA$16&lt;='Model_Assumptions'!$C$8,CA$17*$C$10,IF(CA$16&gt;=('Model_Assumptions'!$C$8 + 1), CA$17*$D$10, ""))))</f>
        <v/>
      </c>
      <c r="CB18" s="21">
        <f>IF(CB$16="","",IF(CB$16=('Model_Assumptions'!$B$8+1), CB$17*$E$10,IF(CB$16&lt;='Model_Assumptions'!$C$8,CB$17*$C$10,IF(CB$16&gt;=('Model_Assumptions'!$C$8 + 1), CB$17*$D$10, ""))))</f>
        <v/>
      </c>
      <c r="CC18" s="21">
        <f>IF(CC$16="","",IF(CC$16=('Model_Assumptions'!$B$8+1), CC$17*$E$10,IF(CC$16&lt;='Model_Assumptions'!$C$8,CC$17*$C$10,IF(CC$16&gt;=('Model_Assumptions'!$C$8 + 1), CC$17*$D$10, ""))))</f>
        <v/>
      </c>
      <c r="CD18" s="21">
        <f>IF(CD$16="","",IF(CD$16=('Model_Assumptions'!$B$8+1), CD$17*$E$10,IF(CD$16&lt;='Model_Assumptions'!$C$8,CD$17*$C$10,IF(CD$16&gt;=('Model_Assumptions'!$C$8 + 1), CD$17*$D$10, ""))))</f>
        <v/>
      </c>
      <c r="CE18" s="21">
        <f>IF(CE$16="","",IF(CE$16=('Model_Assumptions'!$B$8+1), CE$17*$E$10,IF(CE$16&lt;='Model_Assumptions'!$C$8,CE$17*$C$10,IF(CE$16&gt;=('Model_Assumptions'!$C$8 + 1), CE$17*$D$10, ""))))</f>
        <v/>
      </c>
      <c r="CF18" s="21">
        <f>IF(CF$16="","",IF(CF$16=('Model_Assumptions'!$B$8+1), CF$17*$E$10,IF(CF$16&lt;='Model_Assumptions'!$C$8,CF$17*$C$10,IF(CF$16&gt;=('Model_Assumptions'!$C$8 + 1), CF$17*$D$10, ""))))</f>
        <v/>
      </c>
      <c r="CG18" s="21">
        <f>IF(CG$16="","",IF(CG$16=('Model_Assumptions'!$B$8+1), CG$17*$E$10,IF(CG$16&lt;='Model_Assumptions'!$C$8,CG$17*$C$10,IF(CG$16&gt;=('Model_Assumptions'!$C$8 + 1), CG$17*$D$10, ""))))</f>
        <v/>
      </c>
      <c r="CH18" s="21">
        <f>IF(CH$16="","",IF(CH$16=('Model_Assumptions'!$B$8+1), CH$17*$E$10,IF(CH$16&lt;='Model_Assumptions'!$C$8,CH$17*$C$10,IF(CH$16&gt;=('Model_Assumptions'!$C$8 + 1), CH$17*$D$10, ""))))</f>
        <v/>
      </c>
      <c r="CI18" s="21">
        <f>IF(CI$16="","",IF(CI$16=('Model_Assumptions'!$B$8+1), CI$17*$E$10,IF(CI$16&lt;='Model_Assumptions'!$C$8,CI$17*$C$10,IF(CI$16&gt;=('Model_Assumptions'!$C$8 + 1), CI$17*$D$10, ""))))</f>
        <v/>
      </c>
      <c r="CJ18" s="21">
        <f>IF(CJ$16="","",IF(CJ$16=('Model_Assumptions'!$B$8+1), CJ$17*$E$10,IF(CJ$16&lt;='Model_Assumptions'!$C$8,CJ$17*$C$10,IF(CJ$16&gt;=('Model_Assumptions'!$C$8 + 1), CJ$17*$D$10, ""))))</f>
        <v/>
      </c>
      <c r="CK18" s="21">
        <f>IF(CK$16="","",IF(CK$16=('Model_Assumptions'!$B$8+1), CK$17*$E$10,IF(CK$16&lt;='Model_Assumptions'!$C$8,CK$17*$C$10,IF(CK$16&gt;=('Model_Assumptions'!$C$8 + 1), CK$17*$D$10, ""))))</f>
        <v/>
      </c>
      <c r="CL18" s="21">
        <f>IF(CL$16="","",IF(CL$16=('Model_Assumptions'!$B$8+1), CL$17*$E$10,IF(CL$16&lt;='Model_Assumptions'!$C$8,CL$17*$C$10,IF(CL$16&gt;=('Model_Assumptions'!$C$8 + 1), CL$17*$D$10, ""))))</f>
        <v/>
      </c>
      <c r="CM18" s="22">
        <f>IF(CM$16="","",IF(CM$16=('Model_Assumptions'!$B$8+1), CM$17*$E$10,IF(CM$16&lt;='Model_Assumptions'!$C$8,CM$17*$C$10,IF(CM$16&gt;=('Model_Assumptions'!$C$8 + 1), CM$17*$D$10, ""))))</f>
        <v/>
      </c>
    </row>
    <row r="19">
      <c r="B19" s="19" t="inlineStr">
        <is>
          <t>EBITDA After Tax</t>
        </is>
      </c>
      <c r="C19" s="20" t="inlineStr"/>
      <c r="D19" s="21">
        <f>IF(D$16="","", IF(D$16=('Model_Assumptions'!$B$8+1), D$18*(1-$E$9),IF(D$16&lt;='Model_Assumptions'!$C$8,D$18*(1-$C$9),IF(D$16&gt;=('Model_Assumptions'!$C$8 + 1), D$18*(1-$D$9), ""))))</f>
        <v/>
      </c>
      <c r="E19" s="21">
        <f>IF(E$16="","", IF(E$16=('Model_Assumptions'!$B$8+1), E$18*(1-$E$9),IF(E$16&lt;='Model_Assumptions'!$C$8,E$18*(1-$C$9),IF(E$16&gt;=('Model_Assumptions'!$C$8 + 1), E$18*(1-$D$9), ""))))</f>
        <v/>
      </c>
      <c r="F19" s="21">
        <f>IF(F$16="","", IF(F$16=('Model_Assumptions'!$B$8+1), F$18*(1-$E$9),IF(F$16&lt;='Model_Assumptions'!$C$8,F$18*(1-$C$9),IF(F$16&gt;=('Model_Assumptions'!$C$8 + 1), F$18*(1-$D$9), ""))))</f>
        <v/>
      </c>
      <c r="G19" s="21">
        <f>IF(G$16="","", IF(G$16=('Model_Assumptions'!$B$8+1), G$18*(1-$E$9),IF(G$16&lt;='Model_Assumptions'!$C$8,G$18*(1-$C$9),IF(G$16&gt;=('Model_Assumptions'!$C$8 + 1), G$18*(1-$D$9), ""))))</f>
        <v/>
      </c>
      <c r="H19" s="21">
        <f>IF(H$16="","", IF(H$16=('Model_Assumptions'!$B$8+1), H$18*(1-$E$9),IF(H$16&lt;='Model_Assumptions'!$C$8,H$18*(1-$C$9),IF(H$16&gt;=('Model_Assumptions'!$C$8 + 1), H$18*(1-$D$9), ""))))</f>
        <v/>
      </c>
      <c r="I19" s="21">
        <f>IF(I$16="","", IF(I$16=('Model_Assumptions'!$B$8+1), I$18*(1-$E$9),IF(I$16&lt;='Model_Assumptions'!$C$8,I$18*(1-$C$9),IF(I$16&gt;=('Model_Assumptions'!$C$8 + 1), I$18*(1-$D$9), ""))))</f>
        <v/>
      </c>
      <c r="J19" s="21">
        <f>IF(J$16="","", IF(J$16=('Model_Assumptions'!$B$8+1), J$18*(1-$E$9),IF(J$16&lt;='Model_Assumptions'!$C$8,J$18*(1-$C$9),IF(J$16&gt;=('Model_Assumptions'!$C$8 + 1), J$18*(1-$D$9), ""))))</f>
        <v/>
      </c>
      <c r="K19" s="21">
        <f>IF(K$16="","", IF(K$16=('Model_Assumptions'!$B$8+1), K$18*(1-$E$9),IF(K$16&lt;='Model_Assumptions'!$C$8,K$18*(1-$C$9),IF(K$16&gt;=('Model_Assumptions'!$C$8 + 1), K$18*(1-$D$9), ""))))</f>
        <v/>
      </c>
      <c r="L19" s="21">
        <f>IF(L$16="","", IF(L$16=('Model_Assumptions'!$B$8+1), L$18*(1-$E$9),IF(L$16&lt;='Model_Assumptions'!$C$8,L$18*(1-$C$9),IF(L$16&gt;=('Model_Assumptions'!$C$8 + 1), L$18*(1-$D$9), ""))))</f>
        <v/>
      </c>
      <c r="M19" s="21">
        <f>IF(M$16="","", IF(M$16=('Model_Assumptions'!$B$8+1), M$18*(1-$E$9),IF(M$16&lt;='Model_Assumptions'!$C$8,M$18*(1-$C$9),IF(M$16&gt;=('Model_Assumptions'!$C$8 + 1), M$18*(1-$D$9), ""))))</f>
        <v/>
      </c>
      <c r="N19" s="21">
        <f>IF(N$16="","", IF(N$16=('Model_Assumptions'!$B$8+1), N$18*(1-$E$9),IF(N$16&lt;='Model_Assumptions'!$C$8,N$18*(1-$C$9),IF(N$16&gt;=('Model_Assumptions'!$C$8 + 1), N$18*(1-$D$9), ""))))</f>
        <v/>
      </c>
      <c r="O19" s="21">
        <f>IF(O$16="","", IF(O$16=('Model_Assumptions'!$B$8+1), O$18*(1-$E$9),IF(O$16&lt;='Model_Assumptions'!$C$8,O$18*(1-$C$9),IF(O$16&gt;=('Model_Assumptions'!$C$8 + 1), O$18*(1-$D$9), ""))))</f>
        <v/>
      </c>
      <c r="P19" s="21">
        <f>IF(P$16="","", IF(P$16=('Model_Assumptions'!$B$8+1), P$18*(1-$E$9),IF(P$16&lt;='Model_Assumptions'!$C$8,P$18*(1-$C$9),IF(P$16&gt;=('Model_Assumptions'!$C$8 + 1), P$18*(1-$D$9), ""))))</f>
        <v/>
      </c>
      <c r="Q19" s="21">
        <f>IF(Q$16="","", IF(Q$16=('Model_Assumptions'!$B$8+1), Q$18*(1-$E$9),IF(Q$16&lt;='Model_Assumptions'!$C$8,Q$18*(1-$C$9),IF(Q$16&gt;=('Model_Assumptions'!$C$8 + 1), Q$18*(1-$D$9), ""))))</f>
        <v/>
      </c>
      <c r="R19" s="21">
        <f>IF(R$16="","", IF(R$16=('Model_Assumptions'!$B$8+1), R$18*(1-$E$9),IF(R$16&lt;='Model_Assumptions'!$C$8,R$18*(1-$C$9),IF(R$16&gt;=('Model_Assumptions'!$C$8 + 1), R$18*(1-$D$9), ""))))</f>
        <v/>
      </c>
      <c r="S19" s="21">
        <f>IF(S$16="","", IF(S$16=('Model_Assumptions'!$B$8+1), S$18*(1-$E$9),IF(S$16&lt;='Model_Assumptions'!$C$8,S$18*(1-$C$9),IF(S$16&gt;=('Model_Assumptions'!$C$8 + 1), S$18*(1-$D$9), ""))))</f>
        <v/>
      </c>
      <c r="T19" s="21">
        <f>IF(T$16="","", IF(T$16=('Model_Assumptions'!$B$8+1), T$18*(1-$E$9),IF(T$16&lt;='Model_Assumptions'!$C$8,T$18*(1-$C$9),IF(T$16&gt;=('Model_Assumptions'!$C$8 + 1), T$18*(1-$D$9), ""))))</f>
        <v/>
      </c>
      <c r="U19" s="21">
        <f>IF(U$16="","", IF(U$16=('Model_Assumptions'!$B$8+1), U$18*(1-$E$9),IF(U$16&lt;='Model_Assumptions'!$C$8,U$18*(1-$C$9),IF(U$16&gt;=('Model_Assumptions'!$C$8 + 1), U$18*(1-$D$9), ""))))</f>
        <v/>
      </c>
      <c r="V19" s="21">
        <f>IF(V$16="","", IF(V$16=('Model_Assumptions'!$B$8+1), V$18*(1-$E$9),IF(V$16&lt;='Model_Assumptions'!$C$8,V$18*(1-$C$9),IF(V$16&gt;=('Model_Assumptions'!$C$8 + 1), V$18*(1-$D$9), ""))))</f>
        <v/>
      </c>
      <c r="W19" s="21">
        <f>IF(W$16="","", IF(W$16=('Model_Assumptions'!$B$8+1), W$18*(1-$E$9),IF(W$16&lt;='Model_Assumptions'!$C$8,W$18*(1-$C$9),IF(W$16&gt;=('Model_Assumptions'!$C$8 + 1), W$18*(1-$D$9), ""))))</f>
        <v/>
      </c>
      <c r="X19" s="21">
        <f>IF(X$16="","", IF(X$16=('Model_Assumptions'!$B$8+1), X$18*(1-$E$9),IF(X$16&lt;='Model_Assumptions'!$C$8,X$18*(1-$C$9),IF(X$16&gt;=('Model_Assumptions'!$C$8 + 1), X$18*(1-$D$9), ""))))</f>
        <v/>
      </c>
      <c r="Y19" s="21">
        <f>IF(Y$16="","", IF(Y$16=('Model_Assumptions'!$B$8+1), Y$18*(1-$E$9),IF(Y$16&lt;='Model_Assumptions'!$C$8,Y$18*(1-$C$9),IF(Y$16&gt;=('Model_Assumptions'!$C$8 + 1), Y$18*(1-$D$9), ""))))</f>
        <v/>
      </c>
      <c r="Z19" s="21">
        <f>IF(Z$16="","", IF(Z$16=('Model_Assumptions'!$B$8+1), Z$18*(1-$E$9),IF(Z$16&lt;='Model_Assumptions'!$C$8,Z$18*(1-$C$9),IF(Z$16&gt;=('Model_Assumptions'!$C$8 + 1), Z$18*(1-$D$9), ""))))</f>
        <v/>
      </c>
      <c r="AA19" s="21">
        <f>IF(AA$16="","", IF(AA$16=('Model_Assumptions'!$B$8+1), AA$18*(1-$E$9),IF(AA$16&lt;='Model_Assumptions'!$C$8,AA$18*(1-$C$9),IF(AA$16&gt;=('Model_Assumptions'!$C$8 + 1), AA$18*(1-$D$9), ""))))</f>
        <v/>
      </c>
      <c r="AB19" s="21">
        <f>IF(AB$16="","", IF(AB$16=('Model_Assumptions'!$B$8+1), AB$18*(1-$E$9),IF(AB$16&lt;='Model_Assumptions'!$C$8,AB$18*(1-$C$9),IF(AB$16&gt;=('Model_Assumptions'!$C$8 + 1), AB$18*(1-$D$9), ""))))</f>
        <v/>
      </c>
      <c r="AC19" s="21">
        <f>IF(AC$16="","", IF(AC$16=('Model_Assumptions'!$B$8+1), AC$18*(1-$E$9),IF(AC$16&lt;='Model_Assumptions'!$C$8,AC$18*(1-$C$9),IF(AC$16&gt;=('Model_Assumptions'!$C$8 + 1), AC$18*(1-$D$9), ""))))</f>
        <v/>
      </c>
      <c r="AD19" s="21">
        <f>IF(AD$16="","", IF(AD$16=('Model_Assumptions'!$B$8+1), AD$18*(1-$E$9),IF(AD$16&lt;='Model_Assumptions'!$C$8,AD$18*(1-$C$9),IF(AD$16&gt;=('Model_Assumptions'!$C$8 + 1), AD$18*(1-$D$9), ""))))</f>
        <v/>
      </c>
      <c r="AE19" s="21">
        <f>IF(AE$16="","", IF(AE$16=('Model_Assumptions'!$B$8+1), AE$18*(1-$E$9),IF(AE$16&lt;='Model_Assumptions'!$C$8,AE$18*(1-$C$9),IF(AE$16&gt;=('Model_Assumptions'!$C$8 + 1), AE$18*(1-$D$9), ""))))</f>
        <v/>
      </c>
      <c r="AF19" s="21">
        <f>IF(AF$16="","", IF(AF$16=('Model_Assumptions'!$B$8+1), AF$18*(1-$E$9),IF(AF$16&lt;='Model_Assumptions'!$C$8,AF$18*(1-$C$9),IF(AF$16&gt;=('Model_Assumptions'!$C$8 + 1), AF$18*(1-$D$9), ""))))</f>
        <v/>
      </c>
      <c r="AG19" s="21">
        <f>IF(AG$16="","", IF(AG$16=('Model_Assumptions'!$B$8+1), AG$18*(1-$E$9),IF(AG$16&lt;='Model_Assumptions'!$C$8,AG$18*(1-$C$9),IF(AG$16&gt;=('Model_Assumptions'!$C$8 + 1), AG$18*(1-$D$9), ""))))</f>
        <v/>
      </c>
      <c r="AH19" s="21">
        <f>IF(AH$16="","", IF(AH$16=('Model_Assumptions'!$B$8+1), AH$18*(1-$E$9),IF(AH$16&lt;='Model_Assumptions'!$C$8,AH$18*(1-$C$9),IF(AH$16&gt;=('Model_Assumptions'!$C$8 + 1), AH$18*(1-$D$9), ""))))</f>
        <v/>
      </c>
      <c r="AI19" s="21">
        <f>IF(AI$16="","", IF(AI$16=('Model_Assumptions'!$B$8+1), AI$18*(1-$E$9),IF(AI$16&lt;='Model_Assumptions'!$C$8,AI$18*(1-$C$9),IF(AI$16&gt;=('Model_Assumptions'!$C$8 + 1), AI$18*(1-$D$9), ""))))</f>
        <v/>
      </c>
      <c r="AJ19" s="21">
        <f>IF(AJ$16="","", IF(AJ$16=('Model_Assumptions'!$B$8+1), AJ$18*(1-$E$9),IF(AJ$16&lt;='Model_Assumptions'!$C$8,AJ$18*(1-$C$9),IF(AJ$16&gt;=('Model_Assumptions'!$C$8 + 1), AJ$18*(1-$D$9), ""))))</f>
        <v/>
      </c>
      <c r="AK19" s="21">
        <f>IF(AK$16="","", IF(AK$16=('Model_Assumptions'!$B$8+1), AK$18*(1-$E$9),IF(AK$16&lt;='Model_Assumptions'!$C$8,AK$18*(1-$C$9),IF(AK$16&gt;=('Model_Assumptions'!$C$8 + 1), AK$18*(1-$D$9), ""))))</f>
        <v/>
      </c>
      <c r="AL19" s="21">
        <f>IF(AL$16="","", IF(AL$16=('Model_Assumptions'!$B$8+1), AL$18*(1-$E$9),IF(AL$16&lt;='Model_Assumptions'!$C$8,AL$18*(1-$C$9),IF(AL$16&gt;=('Model_Assumptions'!$C$8 + 1), AL$18*(1-$D$9), ""))))</f>
        <v/>
      </c>
      <c r="AM19" s="21">
        <f>IF(AM$16="","", IF(AM$16=('Model_Assumptions'!$B$8+1), AM$18*(1-$E$9),IF(AM$16&lt;='Model_Assumptions'!$C$8,AM$18*(1-$C$9),IF(AM$16&gt;=('Model_Assumptions'!$C$8 + 1), AM$18*(1-$D$9), ""))))</f>
        <v/>
      </c>
      <c r="AN19" s="21">
        <f>IF(AN$16="","", IF(AN$16=('Model_Assumptions'!$B$8+1), AN$18*(1-$E$9),IF(AN$16&lt;='Model_Assumptions'!$C$8,AN$18*(1-$C$9),IF(AN$16&gt;=('Model_Assumptions'!$C$8 + 1), AN$18*(1-$D$9), ""))))</f>
        <v/>
      </c>
      <c r="AO19" s="21">
        <f>IF(AO$16="","", IF(AO$16=('Model_Assumptions'!$B$8+1), AO$18*(1-$E$9),IF(AO$16&lt;='Model_Assumptions'!$C$8,AO$18*(1-$C$9),IF(AO$16&gt;=('Model_Assumptions'!$C$8 + 1), AO$18*(1-$D$9), ""))))</f>
        <v/>
      </c>
      <c r="AP19" s="21">
        <f>IF(AP$16="","", IF(AP$16=('Model_Assumptions'!$B$8+1), AP$18*(1-$E$9),IF(AP$16&lt;='Model_Assumptions'!$C$8,AP$18*(1-$C$9),IF(AP$16&gt;=('Model_Assumptions'!$C$8 + 1), AP$18*(1-$D$9), ""))))</f>
        <v/>
      </c>
      <c r="AQ19" s="21">
        <f>IF(AQ$16="","", IF(AQ$16=('Model_Assumptions'!$B$8+1), AQ$18*(1-$E$9),IF(AQ$16&lt;='Model_Assumptions'!$C$8,AQ$18*(1-$C$9),IF(AQ$16&gt;=('Model_Assumptions'!$C$8 + 1), AQ$18*(1-$D$9), ""))))</f>
        <v/>
      </c>
      <c r="AR19" s="21">
        <f>IF(AR$16="","", IF(AR$16=('Model_Assumptions'!$B$8+1), AR$18*(1-$E$9),IF(AR$16&lt;='Model_Assumptions'!$C$8,AR$18*(1-$C$9),IF(AR$16&gt;=('Model_Assumptions'!$C$8 + 1), AR$18*(1-$D$9), ""))))</f>
        <v/>
      </c>
      <c r="AS19" s="21">
        <f>IF(AS$16="","", IF(AS$16=('Model_Assumptions'!$B$8+1), AS$18*(1-$E$9),IF(AS$16&lt;='Model_Assumptions'!$C$8,AS$18*(1-$C$9),IF(AS$16&gt;=('Model_Assumptions'!$C$8 + 1), AS$18*(1-$D$9), ""))))</f>
        <v/>
      </c>
      <c r="AT19" s="21">
        <f>IF(AT$16="","", IF(AT$16=('Model_Assumptions'!$B$8+1), AT$18*(1-$E$9),IF(AT$16&lt;='Model_Assumptions'!$C$8,AT$18*(1-$C$9),IF(AT$16&gt;=('Model_Assumptions'!$C$8 + 1), AT$18*(1-$D$9), ""))))</f>
        <v/>
      </c>
      <c r="AU19" s="21">
        <f>IF(AU$16="","", IF(AU$16=('Model_Assumptions'!$B$8+1), AU$18*(1-$E$9),IF(AU$16&lt;='Model_Assumptions'!$C$8,AU$18*(1-$C$9),IF(AU$16&gt;=('Model_Assumptions'!$C$8 + 1), AU$18*(1-$D$9), ""))))</f>
        <v/>
      </c>
      <c r="AV19" s="21">
        <f>IF(AV$16="","", IF(AV$16=('Model_Assumptions'!$B$8+1), AV$18*(1-$E$9),IF(AV$16&lt;='Model_Assumptions'!$C$8,AV$18*(1-$C$9),IF(AV$16&gt;=('Model_Assumptions'!$C$8 + 1), AV$18*(1-$D$9), ""))))</f>
        <v/>
      </c>
      <c r="AW19" s="21">
        <f>IF(AW$16="","", IF(AW$16=('Model_Assumptions'!$B$8+1), AW$18*(1-$E$9),IF(AW$16&lt;='Model_Assumptions'!$C$8,AW$18*(1-$C$9),IF(AW$16&gt;=('Model_Assumptions'!$C$8 + 1), AW$18*(1-$D$9), ""))))</f>
        <v/>
      </c>
      <c r="AX19" s="21">
        <f>IF(AX$16="","", IF(AX$16=('Model_Assumptions'!$B$8+1), AX$18*(1-$E$9),IF(AX$16&lt;='Model_Assumptions'!$C$8,AX$18*(1-$C$9),IF(AX$16&gt;=('Model_Assumptions'!$C$8 + 1), AX$18*(1-$D$9), ""))))</f>
        <v/>
      </c>
      <c r="AY19" s="21">
        <f>IF(AY$16="","", IF(AY$16=('Model_Assumptions'!$B$8+1), AY$18*(1-$E$9),IF(AY$16&lt;='Model_Assumptions'!$C$8,AY$18*(1-$C$9),IF(AY$16&gt;=('Model_Assumptions'!$C$8 + 1), AY$18*(1-$D$9), ""))))</f>
        <v/>
      </c>
      <c r="AZ19" s="21">
        <f>IF(AZ$16="","", IF(AZ$16=('Model_Assumptions'!$B$8+1), AZ$18*(1-$E$9),IF(AZ$16&lt;='Model_Assumptions'!$C$8,AZ$18*(1-$C$9),IF(AZ$16&gt;=('Model_Assumptions'!$C$8 + 1), AZ$18*(1-$D$9), ""))))</f>
        <v/>
      </c>
      <c r="BA19" s="21">
        <f>IF(BA$16="","", IF(BA$16=('Model_Assumptions'!$B$8+1), BA$18*(1-$E$9),IF(BA$16&lt;='Model_Assumptions'!$C$8,BA$18*(1-$C$9),IF(BA$16&gt;=('Model_Assumptions'!$C$8 + 1), BA$18*(1-$D$9), ""))))</f>
        <v/>
      </c>
      <c r="BB19" s="21">
        <f>IF(BB$16="","", IF(BB$16=('Model_Assumptions'!$B$8+1), BB$18*(1-$E$9),IF(BB$16&lt;='Model_Assumptions'!$C$8,BB$18*(1-$C$9),IF(BB$16&gt;=('Model_Assumptions'!$C$8 + 1), BB$18*(1-$D$9), ""))))</f>
        <v/>
      </c>
      <c r="BC19" s="21">
        <f>IF(BC$16="","", IF(BC$16=('Model_Assumptions'!$B$8+1), BC$18*(1-$E$9),IF(BC$16&lt;='Model_Assumptions'!$C$8,BC$18*(1-$C$9),IF(BC$16&gt;=('Model_Assumptions'!$C$8 + 1), BC$18*(1-$D$9), ""))))</f>
        <v/>
      </c>
      <c r="BD19" s="21">
        <f>IF(BD$16="","", IF(BD$16=('Model_Assumptions'!$B$8+1), BD$18*(1-$E$9),IF(BD$16&lt;='Model_Assumptions'!$C$8,BD$18*(1-$C$9),IF(BD$16&gt;=('Model_Assumptions'!$C$8 + 1), BD$18*(1-$D$9), ""))))</f>
        <v/>
      </c>
      <c r="BE19" s="21">
        <f>IF(BE$16="","", IF(BE$16=('Model_Assumptions'!$B$8+1), BE$18*(1-$E$9),IF(BE$16&lt;='Model_Assumptions'!$C$8,BE$18*(1-$C$9),IF(BE$16&gt;=('Model_Assumptions'!$C$8 + 1), BE$18*(1-$D$9), ""))))</f>
        <v/>
      </c>
      <c r="BF19" s="21">
        <f>IF(BF$16="","", IF(BF$16=('Model_Assumptions'!$B$8+1), BF$18*(1-$E$9),IF(BF$16&lt;='Model_Assumptions'!$C$8,BF$18*(1-$C$9),IF(BF$16&gt;=('Model_Assumptions'!$C$8 + 1), BF$18*(1-$D$9), ""))))</f>
        <v/>
      </c>
      <c r="BG19" s="21">
        <f>IF(BG$16="","", IF(BG$16=('Model_Assumptions'!$B$8+1), BG$18*(1-$E$9),IF(BG$16&lt;='Model_Assumptions'!$C$8,BG$18*(1-$C$9),IF(BG$16&gt;=('Model_Assumptions'!$C$8 + 1), BG$18*(1-$D$9), ""))))</f>
        <v/>
      </c>
      <c r="BH19" s="21">
        <f>IF(BH$16="","", IF(BH$16=('Model_Assumptions'!$B$8+1), BH$18*(1-$E$9),IF(BH$16&lt;='Model_Assumptions'!$C$8,BH$18*(1-$C$9),IF(BH$16&gt;=('Model_Assumptions'!$C$8 + 1), BH$18*(1-$D$9), ""))))</f>
        <v/>
      </c>
      <c r="BI19" s="21">
        <f>IF(BI$16="","", IF(BI$16=('Model_Assumptions'!$B$8+1), BI$18*(1-$E$9),IF(BI$16&lt;='Model_Assumptions'!$C$8,BI$18*(1-$C$9),IF(BI$16&gt;=('Model_Assumptions'!$C$8 + 1), BI$18*(1-$D$9), ""))))</f>
        <v/>
      </c>
      <c r="BJ19" s="21">
        <f>IF(BJ$16="","", IF(BJ$16=('Model_Assumptions'!$B$8+1), BJ$18*(1-$E$9),IF(BJ$16&lt;='Model_Assumptions'!$C$8,BJ$18*(1-$C$9),IF(BJ$16&gt;=('Model_Assumptions'!$C$8 + 1), BJ$18*(1-$D$9), ""))))</f>
        <v/>
      </c>
      <c r="BK19" s="21">
        <f>IF(BK$16="","", IF(BK$16=('Model_Assumptions'!$B$8+1), BK$18*(1-$E$9),IF(BK$16&lt;='Model_Assumptions'!$C$8,BK$18*(1-$C$9),IF(BK$16&gt;=('Model_Assumptions'!$C$8 + 1), BK$18*(1-$D$9), ""))))</f>
        <v/>
      </c>
      <c r="BL19" s="21">
        <f>IF(BL$16="","", IF(BL$16=('Model_Assumptions'!$B$8+1), BL$18*(1-$E$9),IF(BL$16&lt;='Model_Assumptions'!$C$8,BL$18*(1-$C$9),IF(BL$16&gt;=('Model_Assumptions'!$C$8 + 1), BL$18*(1-$D$9), ""))))</f>
        <v/>
      </c>
      <c r="BM19" s="21">
        <f>IF(BM$16="","", IF(BM$16=('Model_Assumptions'!$B$8+1), BM$18*(1-$E$9),IF(BM$16&lt;='Model_Assumptions'!$C$8,BM$18*(1-$C$9),IF(BM$16&gt;=('Model_Assumptions'!$C$8 + 1), BM$18*(1-$D$9), ""))))</f>
        <v/>
      </c>
      <c r="BN19" s="21">
        <f>IF(BN$16="","", IF(BN$16=('Model_Assumptions'!$B$8+1), BN$18*(1-$E$9),IF(BN$16&lt;='Model_Assumptions'!$C$8,BN$18*(1-$C$9),IF(BN$16&gt;=('Model_Assumptions'!$C$8 + 1), BN$18*(1-$D$9), ""))))</f>
        <v/>
      </c>
      <c r="BO19" s="21">
        <f>IF(BO$16="","", IF(BO$16=('Model_Assumptions'!$B$8+1), BO$18*(1-$E$9),IF(BO$16&lt;='Model_Assumptions'!$C$8,BO$18*(1-$C$9),IF(BO$16&gt;=('Model_Assumptions'!$C$8 + 1), BO$18*(1-$D$9), ""))))</f>
        <v/>
      </c>
      <c r="BP19" s="21">
        <f>IF(BP$16="","", IF(BP$16=('Model_Assumptions'!$B$8+1), BP$18*(1-$E$9),IF(BP$16&lt;='Model_Assumptions'!$C$8,BP$18*(1-$C$9),IF(BP$16&gt;=('Model_Assumptions'!$C$8 + 1), BP$18*(1-$D$9), ""))))</f>
        <v/>
      </c>
      <c r="BQ19" s="21">
        <f>IF(BQ$16="","", IF(BQ$16=('Model_Assumptions'!$B$8+1), BQ$18*(1-$E$9),IF(BQ$16&lt;='Model_Assumptions'!$C$8,BQ$18*(1-$C$9),IF(BQ$16&gt;=('Model_Assumptions'!$C$8 + 1), BQ$18*(1-$D$9), ""))))</f>
        <v/>
      </c>
      <c r="BR19" s="21">
        <f>IF(BR$16="","", IF(BR$16=('Model_Assumptions'!$B$8+1), BR$18*(1-$E$9),IF(BR$16&lt;='Model_Assumptions'!$C$8,BR$18*(1-$C$9),IF(BR$16&gt;=('Model_Assumptions'!$C$8 + 1), BR$18*(1-$D$9), ""))))</f>
        <v/>
      </c>
      <c r="BS19" s="21">
        <f>IF(BS$16="","", IF(BS$16=('Model_Assumptions'!$B$8+1), BS$18*(1-$E$9),IF(BS$16&lt;='Model_Assumptions'!$C$8,BS$18*(1-$C$9),IF(BS$16&gt;=('Model_Assumptions'!$C$8 + 1), BS$18*(1-$D$9), ""))))</f>
        <v/>
      </c>
      <c r="BT19" s="21">
        <f>IF(BT$16="","", IF(BT$16=('Model_Assumptions'!$B$8+1), BT$18*(1-$E$9),IF(BT$16&lt;='Model_Assumptions'!$C$8,BT$18*(1-$C$9),IF(BT$16&gt;=('Model_Assumptions'!$C$8 + 1), BT$18*(1-$D$9), ""))))</f>
        <v/>
      </c>
      <c r="BU19" s="21">
        <f>IF(BU$16="","", IF(BU$16=('Model_Assumptions'!$B$8+1), BU$18*(1-$E$9),IF(BU$16&lt;='Model_Assumptions'!$C$8,BU$18*(1-$C$9),IF(BU$16&gt;=('Model_Assumptions'!$C$8 + 1), BU$18*(1-$D$9), ""))))</f>
        <v/>
      </c>
      <c r="BV19" s="21">
        <f>IF(BV$16="","", IF(BV$16=('Model_Assumptions'!$B$8+1), BV$18*(1-$E$9),IF(BV$16&lt;='Model_Assumptions'!$C$8,BV$18*(1-$C$9),IF(BV$16&gt;=('Model_Assumptions'!$C$8 + 1), BV$18*(1-$D$9), ""))))</f>
        <v/>
      </c>
      <c r="BW19" s="21">
        <f>IF(BW$16="","", IF(BW$16=('Model_Assumptions'!$B$8+1), BW$18*(1-$E$9),IF(BW$16&lt;='Model_Assumptions'!$C$8,BW$18*(1-$C$9),IF(BW$16&gt;=('Model_Assumptions'!$C$8 + 1), BW$18*(1-$D$9), ""))))</f>
        <v/>
      </c>
      <c r="BX19" s="21">
        <f>IF(BX$16="","", IF(BX$16=('Model_Assumptions'!$B$8+1), BX$18*(1-$E$9),IF(BX$16&lt;='Model_Assumptions'!$C$8,BX$18*(1-$C$9),IF(BX$16&gt;=('Model_Assumptions'!$C$8 + 1), BX$18*(1-$D$9), ""))))</f>
        <v/>
      </c>
      <c r="BY19" s="21">
        <f>IF(BY$16="","", IF(BY$16=('Model_Assumptions'!$B$8+1), BY$18*(1-$E$9),IF(BY$16&lt;='Model_Assumptions'!$C$8,BY$18*(1-$C$9),IF(BY$16&gt;=('Model_Assumptions'!$C$8 + 1), BY$18*(1-$D$9), ""))))</f>
        <v/>
      </c>
      <c r="BZ19" s="21">
        <f>IF(BZ$16="","", IF(BZ$16=('Model_Assumptions'!$B$8+1), BZ$18*(1-$E$9),IF(BZ$16&lt;='Model_Assumptions'!$C$8,BZ$18*(1-$C$9),IF(BZ$16&gt;=('Model_Assumptions'!$C$8 + 1), BZ$18*(1-$D$9), ""))))</f>
        <v/>
      </c>
      <c r="CA19" s="21">
        <f>IF(CA$16="","", IF(CA$16=('Model_Assumptions'!$B$8+1), CA$18*(1-$E$9),IF(CA$16&lt;='Model_Assumptions'!$C$8,CA$18*(1-$C$9),IF(CA$16&gt;=('Model_Assumptions'!$C$8 + 1), CA$18*(1-$D$9), ""))))</f>
        <v/>
      </c>
      <c r="CB19" s="21">
        <f>IF(CB$16="","", IF(CB$16=('Model_Assumptions'!$B$8+1), CB$18*(1-$E$9),IF(CB$16&lt;='Model_Assumptions'!$C$8,CB$18*(1-$C$9),IF(CB$16&gt;=('Model_Assumptions'!$C$8 + 1), CB$18*(1-$D$9), ""))))</f>
        <v/>
      </c>
      <c r="CC19" s="21">
        <f>IF(CC$16="","", IF(CC$16=('Model_Assumptions'!$B$8+1), CC$18*(1-$E$9),IF(CC$16&lt;='Model_Assumptions'!$C$8,CC$18*(1-$C$9),IF(CC$16&gt;=('Model_Assumptions'!$C$8 + 1), CC$18*(1-$D$9), ""))))</f>
        <v/>
      </c>
      <c r="CD19" s="21">
        <f>IF(CD$16="","", IF(CD$16=('Model_Assumptions'!$B$8+1), CD$18*(1-$E$9),IF(CD$16&lt;='Model_Assumptions'!$C$8,CD$18*(1-$C$9),IF(CD$16&gt;=('Model_Assumptions'!$C$8 + 1), CD$18*(1-$D$9), ""))))</f>
        <v/>
      </c>
      <c r="CE19" s="21">
        <f>IF(CE$16="","", IF(CE$16=('Model_Assumptions'!$B$8+1), CE$18*(1-$E$9),IF(CE$16&lt;='Model_Assumptions'!$C$8,CE$18*(1-$C$9),IF(CE$16&gt;=('Model_Assumptions'!$C$8 + 1), CE$18*(1-$D$9), ""))))</f>
        <v/>
      </c>
      <c r="CF19" s="21">
        <f>IF(CF$16="","", IF(CF$16=('Model_Assumptions'!$B$8+1), CF$18*(1-$E$9),IF(CF$16&lt;='Model_Assumptions'!$C$8,CF$18*(1-$C$9),IF(CF$16&gt;=('Model_Assumptions'!$C$8 + 1), CF$18*(1-$D$9), ""))))</f>
        <v/>
      </c>
      <c r="CG19" s="21">
        <f>IF(CG$16="","", IF(CG$16=('Model_Assumptions'!$B$8+1), CG$18*(1-$E$9),IF(CG$16&lt;='Model_Assumptions'!$C$8,CG$18*(1-$C$9),IF(CG$16&gt;=('Model_Assumptions'!$C$8 + 1), CG$18*(1-$D$9), ""))))</f>
        <v/>
      </c>
      <c r="CH19" s="21">
        <f>IF(CH$16="","", IF(CH$16=('Model_Assumptions'!$B$8+1), CH$18*(1-$E$9),IF(CH$16&lt;='Model_Assumptions'!$C$8,CH$18*(1-$C$9),IF(CH$16&gt;=('Model_Assumptions'!$C$8 + 1), CH$18*(1-$D$9), ""))))</f>
        <v/>
      </c>
      <c r="CI19" s="21">
        <f>IF(CI$16="","", IF(CI$16=('Model_Assumptions'!$B$8+1), CI$18*(1-$E$9),IF(CI$16&lt;='Model_Assumptions'!$C$8,CI$18*(1-$C$9),IF(CI$16&gt;=('Model_Assumptions'!$C$8 + 1), CI$18*(1-$D$9), ""))))</f>
        <v/>
      </c>
      <c r="CJ19" s="21">
        <f>IF(CJ$16="","", IF(CJ$16=('Model_Assumptions'!$B$8+1), CJ$18*(1-$E$9),IF(CJ$16&lt;='Model_Assumptions'!$C$8,CJ$18*(1-$C$9),IF(CJ$16&gt;=('Model_Assumptions'!$C$8 + 1), CJ$18*(1-$D$9), ""))))</f>
        <v/>
      </c>
      <c r="CK19" s="21">
        <f>IF(CK$16="","", IF(CK$16=('Model_Assumptions'!$B$8+1), CK$18*(1-$E$9),IF(CK$16&lt;='Model_Assumptions'!$C$8,CK$18*(1-$C$9),IF(CK$16&gt;=('Model_Assumptions'!$C$8 + 1), CK$18*(1-$D$9), ""))))</f>
        <v/>
      </c>
      <c r="CL19" s="21">
        <f>IF(CL$16="","", IF(CL$16=('Model_Assumptions'!$B$8+1), CL$18*(1-$E$9),IF(CL$16&lt;='Model_Assumptions'!$C$8,CL$18*(1-$C$9),IF(CL$16&gt;=('Model_Assumptions'!$C$8 + 1), CL$18*(1-$D$9), ""))))</f>
        <v/>
      </c>
      <c r="CM19" s="22">
        <f>IF(CM$16="","", IF(CM$16=('Model_Assumptions'!$B$8+1), CM$18*(1-$E$9),IF(CM$16&lt;='Model_Assumptions'!$C$8,CM$18*(1-$C$9),IF(CM$16&gt;=('Model_Assumptions'!$C$8 + 1), CM$18*(1-$D$9), ""))))</f>
        <v/>
      </c>
    </row>
    <row r="20">
      <c r="B20" s="19" t="inlineStr">
        <is>
          <t>Depreciation</t>
        </is>
      </c>
      <c r="C20" s="20" t="inlineStr"/>
      <c r="D20" s="21">
        <f>IF(D$16="","",IF(D$16=('Model_Assumptions'!$B$8+1), D$17*$E$11,IF(D$16&lt;='Model_Assumptions'!$C$8,D$17*$C$11,IF(D$16&gt;=('Model_Assumptions'!$C$8 + 1), D$17*$D$11, ""))))</f>
        <v/>
      </c>
      <c r="E20" s="21">
        <f>IF(E$16="","",IF(E$16=('Model_Assumptions'!$B$8+1), E$17*$E$11,IF(E$16&lt;='Model_Assumptions'!$C$8,E$17*$C$11,IF(E$16&gt;=('Model_Assumptions'!$C$8 + 1), E$17*$D$11, ""))))</f>
        <v/>
      </c>
      <c r="F20" s="21">
        <f>IF(F$16="","",IF(F$16=('Model_Assumptions'!$B$8+1), F$17*$E$11,IF(F$16&lt;='Model_Assumptions'!$C$8,F$17*$C$11,IF(F$16&gt;=('Model_Assumptions'!$C$8 + 1), F$17*$D$11, ""))))</f>
        <v/>
      </c>
      <c r="G20" s="21">
        <f>IF(G$16="","",IF(G$16=('Model_Assumptions'!$B$8+1), G$17*$E$11,IF(G$16&lt;='Model_Assumptions'!$C$8,G$17*$C$11,IF(G$16&gt;=('Model_Assumptions'!$C$8 + 1), G$17*$D$11, ""))))</f>
        <v/>
      </c>
      <c r="H20" s="21">
        <f>IF(H$16="","",IF(H$16=('Model_Assumptions'!$B$8+1), H$17*$E$11,IF(H$16&lt;='Model_Assumptions'!$C$8,H$17*$C$11,IF(H$16&gt;=('Model_Assumptions'!$C$8 + 1), H$17*$D$11, ""))))</f>
        <v/>
      </c>
      <c r="I20" s="21">
        <f>IF(I$16="","",IF(I$16=('Model_Assumptions'!$B$8+1), I$17*$E$11,IF(I$16&lt;='Model_Assumptions'!$C$8,I$17*$C$11,IF(I$16&gt;=('Model_Assumptions'!$C$8 + 1), I$17*$D$11, ""))))</f>
        <v/>
      </c>
      <c r="J20" s="21">
        <f>IF(J$16="","",IF(J$16=('Model_Assumptions'!$B$8+1), J$17*$E$11,IF(J$16&lt;='Model_Assumptions'!$C$8,J$17*$C$11,IF(J$16&gt;=('Model_Assumptions'!$C$8 + 1), J$17*$D$11, ""))))</f>
        <v/>
      </c>
      <c r="K20" s="21">
        <f>IF(K$16="","",IF(K$16=('Model_Assumptions'!$B$8+1), K$17*$E$11,IF(K$16&lt;='Model_Assumptions'!$C$8,K$17*$C$11,IF(K$16&gt;=('Model_Assumptions'!$C$8 + 1), K$17*$D$11, ""))))</f>
        <v/>
      </c>
      <c r="L20" s="21">
        <f>IF(L$16="","",IF(L$16=('Model_Assumptions'!$B$8+1), L$17*$E$11,IF(L$16&lt;='Model_Assumptions'!$C$8,L$17*$C$11,IF(L$16&gt;=('Model_Assumptions'!$C$8 + 1), L$17*$D$11, ""))))</f>
        <v/>
      </c>
      <c r="M20" s="21">
        <f>IF(M$16="","",IF(M$16=('Model_Assumptions'!$B$8+1), M$17*$E$11,IF(M$16&lt;='Model_Assumptions'!$C$8,M$17*$C$11,IF(M$16&gt;=('Model_Assumptions'!$C$8 + 1), M$17*$D$11, ""))))</f>
        <v/>
      </c>
      <c r="N20" s="21">
        <f>IF(N$16="","",IF(N$16=('Model_Assumptions'!$B$8+1), N$17*$E$11,IF(N$16&lt;='Model_Assumptions'!$C$8,N$17*$C$11,IF(N$16&gt;=('Model_Assumptions'!$C$8 + 1), N$17*$D$11, ""))))</f>
        <v/>
      </c>
      <c r="O20" s="21">
        <f>IF(O$16="","",IF(O$16=('Model_Assumptions'!$B$8+1), O$17*$E$11,IF(O$16&lt;='Model_Assumptions'!$C$8,O$17*$C$11,IF(O$16&gt;=('Model_Assumptions'!$C$8 + 1), O$17*$D$11, ""))))</f>
        <v/>
      </c>
      <c r="P20" s="21">
        <f>IF(P$16="","",IF(P$16=('Model_Assumptions'!$B$8+1), P$17*$E$11,IF(P$16&lt;='Model_Assumptions'!$C$8,P$17*$C$11,IF(P$16&gt;=('Model_Assumptions'!$C$8 + 1), P$17*$D$11, ""))))</f>
        <v/>
      </c>
      <c r="Q20" s="21">
        <f>IF(Q$16="","",IF(Q$16=('Model_Assumptions'!$B$8+1), Q$17*$E$11,IF(Q$16&lt;='Model_Assumptions'!$C$8,Q$17*$C$11,IF(Q$16&gt;=('Model_Assumptions'!$C$8 + 1), Q$17*$D$11, ""))))</f>
        <v/>
      </c>
      <c r="R20" s="21">
        <f>IF(R$16="","",IF(R$16=('Model_Assumptions'!$B$8+1), R$17*$E$11,IF(R$16&lt;='Model_Assumptions'!$C$8,R$17*$C$11,IF(R$16&gt;=('Model_Assumptions'!$C$8 + 1), R$17*$D$11, ""))))</f>
        <v/>
      </c>
      <c r="S20" s="21">
        <f>IF(S$16="","",IF(S$16=('Model_Assumptions'!$B$8+1), S$17*$E$11,IF(S$16&lt;='Model_Assumptions'!$C$8,S$17*$C$11,IF(S$16&gt;=('Model_Assumptions'!$C$8 + 1), S$17*$D$11, ""))))</f>
        <v/>
      </c>
      <c r="T20" s="21">
        <f>IF(T$16="","",IF(T$16=('Model_Assumptions'!$B$8+1), T$17*$E$11,IF(T$16&lt;='Model_Assumptions'!$C$8,T$17*$C$11,IF(T$16&gt;=('Model_Assumptions'!$C$8 + 1), T$17*$D$11, ""))))</f>
        <v/>
      </c>
      <c r="U20" s="21">
        <f>IF(U$16="","",IF(U$16=('Model_Assumptions'!$B$8+1), U$17*$E$11,IF(U$16&lt;='Model_Assumptions'!$C$8,U$17*$C$11,IF(U$16&gt;=('Model_Assumptions'!$C$8 + 1), U$17*$D$11, ""))))</f>
        <v/>
      </c>
      <c r="V20" s="21">
        <f>IF(V$16="","",IF(V$16=('Model_Assumptions'!$B$8+1), V$17*$E$11,IF(V$16&lt;='Model_Assumptions'!$C$8,V$17*$C$11,IF(V$16&gt;=('Model_Assumptions'!$C$8 + 1), V$17*$D$11, ""))))</f>
        <v/>
      </c>
      <c r="W20" s="21">
        <f>IF(W$16="","",IF(W$16=('Model_Assumptions'!$B$8+1), W$17*$E$11,IF(W$16&lt;='Model_Assumptions'!$C$8,W$17*$C$11,IF(W$16&gt;=('Model_Assumptions'!$C$8 + 1), W$17*$D$11, ""))))</f>
        <v/>
      </c>
      <c r="X20" s="21">
        <f>IF(X$16="","",IF(X$16=('Model_Assumptions'!$B$8+1), X$17*$E$11,IF(X$16&lt;='Model_Assumptions'!$C$8,X$17*$C$11,IF(X$16&gt;=('Model_Assumptions'!$C$8 + 1), X$17*$D$11, ""))))</f>
        <v/>
      </c>
      <c r="Y20" s="21">
        <f>IF(Y$16="","",IF(Y$16=('Model_Assumptions'!$B$8+1), Y$17*$E$11,IF(Y$16&lt;='Model_Assumptions'!$C$8,Y$17*$C$11,IF(Y$16&gt;=('Model_Assumptions'!$C$8 + 1), Y$17*$D$11, ""))))</f>
        <v/>
      </c>
      <c r="Z20" s="21">
        <f>IF(Z$16="","",IF(Z$16=('Model_Assumptions'!$B$8+1), Z$17*$E$11,IF(Z$16&lt;='Model_Assumptions'!$C$8,Z$17*$C$11,IF(Z$16&gt;=('Model_Assumptions'!$C$8 + 1), Z$17*$D$11, ""))))</f>
        <v/>
      </c>
      <c r="AA20" s="21">
        <f>IF(AA$16="","",IF(AA$16=('Model_Assumptions'!$B$8+1), AA$17*$E$11,IF(AA$16&lt;='Model_Assumptions'!$C$8,AA$17*$C$11,IF(AA$16&gt;=('Model_Assumptions'!$C$8 + 1), AA$17*$D$11, ""))))</f>
        <v/>
      </c>
      <c r="AB20" s="21">
        <f>IF(AB$16="","",IF(AB$16=('Model_Assumptions'!$B$8+1), AB$17*$E$11,IF(AB$16&lt;='Model_Assumptions'!$C$8,AB$17*$C$11,IF(AB$16&gt;=('Model_Assumptions'!$C$8 + 1), AB$17*$D$11, ""))))</f>
        <v/>
      </c>
      <c r="AC20" s="21">
        <f>IF(AC$16="","",IF(AC$16=('Model_Assumptions'!$B$8+1), AC$17*$E$11,IF(AC$16&lt;='Model_Assumptions'!$C$8,AC$17*$C$11,IF(AC$16&gt;=('Model_Assumptions'!$C$8 + 1), AC$17*$D$11, ""))))</f>
        <v/>
      </c>
      <c r="AD20" s="21">
        <f>IF(AD$16="","",IF(AD$16=('Model_Assumptions'!$B$8+1), AD$17*$E$11,IF(AD$16&lt;='Model_Assumptions'!$C$8,AD$17*$C$11,IF(AD$16&gt;=('Model_Assumptions'!$C$8 + 1), AD$17*$D$11, ""))))</f>
        <v/>
      </c>
      <c r="AE20" s="21">
        <f>IF(AE$16="","",IF(AE$16=('Model_Assumptions'!$B$8+1), AE$17*$E$11,IF(AE$16&lt;='Model_Assumptions'!$C$8,AE$17*$C$11,IF(AE$16&gt;=('Model_Assumptions'!$C$8 + 1), AE$17*$D$11, ""))))</f>
        <v/>
      </c>
      <c r="AF20" s="21">
        <f>IF(AF$16="","",IF(AF$16=('Model_Assumptions'!$B$8+1), AF$17*$E$11,IF(AF$16&lt;='Model_Assumptions'!$C$8,AF$17*$C$11,IF(AF$16&gt;=('Model_Assumptions'!$C$8 + 1), AF$17*$D$11, ""))))</f>
        <v/>
      </c>
      <c r="AG20" s="21">
        <f>IF(AG$16="","",IF(AG$16=('Model_Assumptions'!$B$8+1), AG$17*$E$11,IF(AG$16&lt;='Model_Assumptions'!$C$8,AG$17*$C$11,IF(AG$16&gt;=('Model_Assumptions'!$C$8 + 1), AG$17*$D$11, ""))))</f>
        <v/>
      </c>
      <c r="AH20" s="21">
        <f>IF(AH$16="","",IF(AH$16=('Model_Assumptions'!$B$8+1), AH$17*$E$11,IF(AH$16&lt;='Model_Assumptions'!$C$8,AH$17*$C$11,IF(AH$16&gt;=('Model_Assumptions'!$C$8 + 1), AH$17*$D$11, ""))))</f>
        <v/>
      </c>
      <c r="AI20" s="21">
        <f>IF(AI$16="","",IF(AI$16=('Model_Assumptions'!$B$8+1), AI$17*$E$11,IF(AI$16&lt;='Model_Assumptions'!$C$8,AI$17*$C$11,IF(AI$16&gt;=('Model_Assumptions'!$C$8 + 1), AI$17*$D$11, ""))))</f>
        <v/>
      </c>
      <c r="AJ20" s="21">
        <f>IF(AJ$16="","",IF(AJ$16=('Model_Assumptions'!$B$8+1), AJ$17*$E$11,IF(AJ$16&lt;='Model_Assumptions'!$C$8,AJ$17*$C$11,IF(AJ$16&gt;=('Model_Assumptions'!$C$8 + 1), AJ$17*$D$11, ""))))</f>
        <v/>
      </c>
      <c r="AK20" s="21">
        <f>IF(AK$16="","",IF(AK$16=('Model_Assumptions'!$B$8+1), AK$17*$E$11,IF(AK$16&lt;='Model_Assumptions'!$C$8,AK$17*$C$11,IF(AK$16&gt;=('Model_Assumptions'!$C$8 + 1), AK$17*$D$11, ""))))</f>
        <v/>
      </c>
      <c r="AL20" s="21">
        <f>IF(AL$16="","",IF(AL$16=('Model_Assumptions'!$B$8+1), AL$17*$E$11,IF(AL$16&lt;='Model_Assumptions'!$C$8,AL$17*$C$11,IF(AL$16&gt;=('Model_Assumptions'!$C$8 + 1), AL$17*$D$11, ""))))</f>
        <v/>
      </c>
      <c r="AM20" s="21">
        <f>IF(AM$16="","",IF(AM$16=('Model_Assumptions'!$B$8+1), AM$17*$E$11,IF(AM$16&lt;='Model_Assumptions'!$C$8,AM$17*$C$11,IF(AM$16&gt;=('Model_Assumptions'!$C$8 + 1), AM$17*$D$11, ""))))</f>
        <v/>
      </c>
      <c r="AN20" s="21">
        <f>IF(AN$16="","",IF(AN$16=('Model_Assumptions'!$B$8+1), AN$17*$E$11,IF(AN$16&lt;='Model_Assumptions'!$C$8,AN$17*$C$11,IF(AN$16&gt;=('Model_Assumptions'!$C$8 + 1), AN$17*$D$11, ""))))</f>
        <v/>
      </c>
      <c r="AO20" s="21">
        <f>IF(AO$16="","",IF(AO$16=('Model_Assumptions'!$B$8+1), AO$17*$E$11,IF(AO$16&lt;='Model_Assumptions'!$C$8,AO$17*$C$11,IF(AO$16&gt;=('Model_Assumptions'!$C$8 + 1), AO$17*$D$11, ""))))</f>
        <v/>
      </c>
      <c r="AP20" s="21">
        <f>IF(AP$16="","",IF(AP$16=('Model_Assumptions'!$B$8+1), AP$17*$E$11,IF(AP$16&lt;='Model_Assumptions'!$C$8,AP$17*$C$11,IF(AP$16&gt;=('Model_Assumptions'!$C$8 + 1), AP$17*$D$11, ""))))</f>
        <v/>
      </c>
      <c r="AQ20" s="21">
        <f>IF(AQ$16="","",IF(AQ$16=('Model_Assumptions'!$B$8+1), AQ$17*$E$11,IF(AQ$16&lt;='Model_Assumptions'!$C$8,AQ$17*$C$11,IF(AQ$16&gt;=('Model_Assumptions'!$C$8 + 1), AQ$17*$D$11, ""))))</f>
        <v/>
      </c>
      <c r="AR20" s="21">
        <f>IF(AR$16="","",IF(AR$16=('Model_Assumptions'!$B$8+1), AR$17*$E$11,IF(AR$16&lt;='Model_Assumptions'!$C$8,AR$17*$C$11,IF(AR$16&gt;=('Model_Assumptions'!$C$8 + 1), AR$17*$D$11, ""))))</f>
        <v/>
      </c>
      <c r="AS20" s="21">
        <f>IF(AS$16="","",IF(AS$16=('Model_Assumptions'!$B$8+1), AS$17*$E$11,IF(AS$16&lt;='Model_Assumptions'!$C$8,AS$17*$C$11,IF(AS$16&gt;=('Model_Assumptions'!$C$8 + 1), AS$17*$D$11, ""))))</f>
        <v/>
      </c>
      <c r="AT20" s="21">
        <f>IF(AT$16="","",IF(AT$16=('Model_Assumptions'!$B$8+1), AT$17*$E$11,IF(AT$16&lt;='Model_Assumptions'!$C$8,AT$17*$C$11,IF(AT$16&gt;=('Model_Assumptions'!$C$8 + 1), AT$17*$D$11, ""))))</f>
        <v/>
      </c>
      <c r="AU20" s="21">
        <f>IF(AU$16="","",IF(AU$16=('Model_Assumptions'!$B$8+1), AU$17*$E$11,IF(AU$16&lt;='Model_Assumptions'!$C$8,AU$17*$C$11,IF(AU$16&gt;=('Model_Assumptions'!$C$8 + 1), AU$17*$D$11, ""))))</f>
        <v/>
      </c>
      <c r="AV20" s="21">
        <f>IF(AV$16="","",IF(AV$16=('Model_Assumptions'!$B$8+1), AV$17*$E$11,IF(AV$16&lt;='Model_Assumptions'!$C$8,AV$17*$C$11,IF(AV$16&gt;=('Model_Assumptions'!$C$8 + 1), AV$17*$D$11, ""))))</f>
        <v/>
      </c>
      <c r="AW20" s="21">
        <f>IF(AW$16="","",IF(AW$16=('Model_Assumptions'!$B$8+1), AW$17*$E$11,IF(AW$16&lt;='Model_Assumptions'!$C$8,AW$17*$C$11,IF(AW$16&gt;=('Model_Assumptions'!$C$8 + 1), AW$17*$D$11, ""))))</f>
        <v/>
      </c>
      <c r="AX20" s="21">
        <f>IF(AX$16="","",IF(AX$16=('Model_Assumptions'!$B$8+1), AX$17*$E$11,IF(AX$16&lt;='Model_Assumptions'!$C$8,AX$17*$C$11,IF(AX$16&gt;=('Model_Assumptions'!$C$8 + 1), AX$17*$D$11, ""))))</f>
        <v/>
      </c>
      <c r="AY20" s="21">
        <f>IF(AY$16="","",IF(AY$16=('Model_Assumptions'!$B$8+1), AY$17*$E$11,IF(AY$16&lt;='Model_Assumptions'!$C$8,AY$17*$C$11,IF(AY$16&gt;=('Model_Assumptions'!$C$8 + 1), AY$17*$D$11, ""))))</f>
        <v/>
      </c>
      <c r="AZ20" s="21">
        <f>IF(AZ$16="","",IF(AZ$16=('Model_Assumptions'!$B$8+1), AZ$17*$E$11,IF(AZ$16&lt;='Model_Assumptions'!$C$8,AZ$17*$C$11,IF(AZ$16&gt;=('Model_Assumptions'!$C$8 + 1), AZ$17*$D$11, ""))))</f>
        <v/>
      </c>
      <c r="BA20" s="21">
        <f>IF(BA$16="","",IF(BA$16=('Model_Assumptions'!$B$8+1), BA$17*$E$11,IF(BA$16&lt;='Model_Assumptions'!$C$8,BA$17*$C$11,IF(BA$16&gt;=('Model_Assumptions'!$C$8 + 1), BA$17*$D$11, ""))))</f>
        <v/>
      </c>
      <c r="BB20" s="21">
        <f>IF(BB$16="","",IF(BB$16=('Model_Assumptions'!$B$8+1), BB$17*$E$11,IF(BB$16&lt;='Model_Assumptions'!$C$8,BB$17*$C$11,IF(BB$16&gt;=('Model_Assumptions'!$C$8 + 1), BB$17*$D$11, ""))))</f>
        <v/>
      </c>
      <c r="BC20" s="21">
        <f>IF(BC$16="","",IF(BC$16=('Model_Assumptions'!$B$8+1), BC$17*$E$11,IF(BC$16&lt;='Model_Assumptions'!$C$8,BC$17*$C$11,IF(BC$16&gt;=('Model_Assumptions'!$C$8 + 1), BC$17*$D$11, ""))))</f>
        <v/>
      </c>
      <c r="BD20" s="21">
        <f>IF(BD$16="","",IF(BD$16=('Model_Assumptions'!$B$8+1), BD$17*$E$11,IF(BD$16&lt;='Model_Assumptions'!$C$8,BD$17*$C$11,IF(BD$16&gt;=('Model_Assumptions'!$C$8 + 1), BD$17*$D$11, ""))))</f>
        <v/>
      </c>
      <c r="BE20" s="21">
        <f>IF(BE$16="","",IF(BE$16=('Model_Assumptions'!$B$8+1), BE$17*$E$11,IF(BE$16&lt;='Model_Assumptions'!$C$8,BE$17*$C$11,IF(BE$16&gt;=('Model_Assumptions'!$C$8 + 1), BE$17*$D$11, ""))))</f>
        <v/>
      </c>
      <c r="BF20" s="21">
        <f>IF(BF$16="","",IF(BF$16=('Model_Assumptions'!$B$8+1), BF$17*$E$11,IF(BF$16&lt;='Model_Assumptions'!$C$8,BF$17*$C$11,IF(BF$16&gt;=('Model_Assumptions'!$C$8 + 1), BF$17*$D$11, ""))))</f>
        <v/>
      </c>
      <c r="BG20" s="21">
        <f>IF(BG$16="","",IF(BG$16=('Model_Assumptions'!$B$8+1), BG$17*$E$11,IF(BG$16&lt;='Model_Assumptions'!$C$8,BG$17*$C$11,IF(BG$16&gt;=('Model_Assumptions'!$C$8 + 1), BG$17*$D$11, ""))))</f>
        <v/>
      </c>
      <c r="BH20" s="21">
        <f>IF(BH$16="","",IF(BH$16=('Model_Assumptions'!$B$8+1), BH$17*$E$11,IF(BH$16&lt;='Model_Assumptions'!$C$8,BH$17*$C$11,IF(BH$16&gt;=('Model_Assumptions'!$C$8 + 1), BH$17*$D$11, ""))))</f>
        <v/>
      </c>
      <c r="BI20" s="21">
        <f>IF(BI$16="","",IF(BI$16=('Model_Assumptions'!$B$8+1), BI$17*$E$11,IF(BI$16&lt;='Model_Assumptions'!$C$8,BI$17*$C$11,IF(BI$16&gt;=('Model_Assumptions'!$C$8 + 1), BI$17*$D$11, ""))))</f>
        <v/>
      </c>
      <c r="BJ20" s="21">
        <f>IF(BJ$16="","",IF(BJ$16=('Model_Assumptions'!$B$8+1), BJ$17*$E$11,IF(BJ$16&lt;='Model_Assumptions'!$C$8,BJ$17*$C$11,IF(BJ$16&gt;=('Model_Assumptions'!$C$8 + 1), BJ$17*$D$11, ""))))</f>
        <v/>
      </c>
      <c r="BK20" s="21">
        <f>IF(BK$16="","",IF(BK$16=('Model_Assumptions'!$B$8+1), BK$17*$E$11,IF(BK$16&lt;='Model_Assumptions'!$C$8,BK$17*$C$11,IF(BK$16&gt;=('Model_Assumptions'!$C$8 + 1), BK$17*$D$11, ""))))</f>
        <v/>
      </c>
      <c r="BL20" s="21">
        <f>IF(BL$16="","",IF(BL$16=('Model_Assumptions'!$B$8+1), BL$17*$E$11,IF(BL$16&lt;='Model_Assumptions'!$C$8,BL$17*$C$11,IF(BL$16&gt;=('Model_Assumptions'!$C$8 + 1), BL$17*$D$11, ""))))</f>
        <v/>
      </c>
      <c r="BM20" s="21">
        <f>IF(BM$16="","",IF(BM$16=('Model_Assumptions'!$B$8+1), BM$17*$E$11,IF(BM$16&lt;='Model_Assumptions'!$C$8,BM$17*$C$11,IF(BM$16&gt;=('Model_Assumptions'!$C$8 + 1), BM$17*$D$11, ""))))</f>
        <v/>
      </c>
      <c r="BN20" s="21">
        <f>IF(BN$16="","",IF(BN$16=('Model_Assumptions'!$B$8+1), BN$17*$E$11,IF(BN$16&lt;='Model_Assumptions'!$C$8,BN$17*$C$11,IF(BN$16&gt;=('Model_Assumptions'!$C$8 + 1), BN$17*$D$11, ""))))</f>
        <v/>
      </c>
      <c r="BO20" s="21">
        <f>IF(BO$16="","",IF(BO$16=('Model_Assumptions'!$B$8+1), BO$17*$E$11,IF(BO$16&lt;='Model_Assumptions'!$C$8,BO$17*$C$11,IF(BO$16&gt;=('Model_Assumptions'!$C$8 + 1), BO$17*$D$11, ""))))</f>
        <v/>
      </c>
      <c r="BP20" s="21">
        <f>IF(BP$16="","",IF(BP$16=('Model_Assumptions'!$B$8+1), BP$17*$E$11,IF(BP$16&lt;='Model_Assumptions'!$C$8,BP$17*$C$11,IF(BP$16&gt;=('Model_Assumptions'!$C$8 + 1), BP$17*$D$11, ""))))</f>
        <v/>
      </c>
      <c r="BQ20" s="21">
        <f>IF(BQ$16="","",IF(BQ$16=('Model_Assumptions'!$B$8+1), BQ$17*$E$11,IF(BQ$16&lt;='Model_Assumptions'!$C$8,BQ$17*$C$11,IF(BQ$16&gt;=('Model_Assumptions'!$C$8 + 1), BQ$17*$D$11, ""))))</f>
        <v/>
      </c>
      <c r="BR20" s="21">
        <f>IF(BR$16="","",IF(BR$16=('Model_Assumptions'!$B$8+1), BR$17*$E$11,IF(BR$16&lt;='Model_Assumptions'!$C$8,BR$17*$C$11,IF(BR$16&gt;=('Model_Assumptions'!$C$8 + 1), BR$17*$D$11, ""))))</f>
        <v/>
      </c>
      <c r="BS20" s="21">
        <f>IF(BS$16="","",IF(BS$16=('Model_Assumptions'!$B$8+1), BS$17*$E$11,IF(BS$16&lt;='Model_Assumptions'!$C$8,BS$17*$C$11,IF(BS$16&gt;=('Model_Assumptions'!$C$8 + 1), BS$17*$D$11, ""))))</f>
        <v/>
      </c>
      <c r="BT20" s="21">
        <f>IF(BT$16="","",IF(BT$16=('Model_Assumptions'!$B$8+1), BT$17*$E$11,IF(BT$16&lt;='Model_Assumptions'!$C$8,BT$17*$C$11,IF(BT$16&gt;=('Model_Assumptions'!$C$8 + 1), BT$17*$D$11, ""))))</f>
        <v/>
      </c>
      <c r="BU20" s="21">
        <f>IF(BU$16="","",IF(BU$16=('Model_Assumptions'!$B$8+1), BU$17*$E$11,IF(BU$16&lt;='Model_Assumptions'!$C$8,BU$17*$C$11,IF(BU$16&gt;=('Model_Assumptions'!$C$8 + 1), BU$17*$D$11, ""))))</f>
        <v/>
      </c>
      <c r="BV20" s="21">
        <f>IF(BV$16="","",IF(BV$16=('Model_Assumptions'!$B$8+1), BV$17*$E$11,IF(BV$16&lt;='Model_Assumptions'!$C$8,BV$17*$C$11,IF(BV$16&gt;=('Model_Assumptions'!$C$8 + 1), BV$17*$D$11, ""))))</f>
        <v/>
      </c>
      <c r="BW20" s="21">
        <f>IF(BW$16="","",IF(BW$16=('Model_Assumptions'!$B$8+1), BW$17*$E$11,IF(BW$16&lt;='Model_Assumptions'!$C$8,BW$17*$C$11,IF(BW$16&gt;=('Model_Assumptions'!$C$8 + 1), BW$17*$D$11, ""))))</f>
        <v/>
      </c>
      <c r="BX20" s="21">
        <f>IF(BX$16="","",IF(BX$16=('Model_Assumptions'!$B$8+1), BX$17*$E$11,IF(BX$16&lt;='Model_Assumptions'!$C$8,BX$17*$C$11,IF(BX$16&gt;=('Model_Assumptions'!$C$8 + 1), BX$17*$D$11, ""))))</f>
        <v/>
      </c>
      <c r="BY20" s="21">
        <f>IF(BY$16="","",IF(BY$16=('Model_Assumptions'!$B$8+1), BY$17*$E$11,IF(BY$16&lt;='Model_Assumptions'!$C$8,BY$17*$C$11,IF(BY$16&gt;=('Model_Assumptions'!$C$8 + 1), BY$17*$D$11, ""))))</f>
        <v/>
      </c>
      <c r="BZ20" s="21">
        <f>IF(BZ$16="","",IF(BZ$16=('Model_Assumptions'!$B$8+1), BZ$17*$E$11,IF(BZ$16&lt;='Model_Assumptions'!$C$8,BZ$17*$C$11,IF(BZ$16&gt;=('Model_Assumptions'!$C$8 + 1), BZ$17*$D$11, ""))))</f>
        <v/>
      </c>
      <c r="CA20" s="21">
        <f>IF(CA$16="","",IF(CA$16=('Model_Assumptions'!$B$8+1), CA$17*$E$11,IF(CA$16&lt;='Model_Assumptions'!$C$8,CA$17*$C$11,IF(CA$16&gt;=('Model_Assumptions'!$C$8 + 1), CA$17*$D$11, ""))))</f>
        <v/>
      </c>
      <c r="CB20" s="21">
        <f>IF(CB$16="","",IF(CB$16=('Model_Assumptions'!$B$8+1), CB$17*$E$11,IF(CB$16&lt;='Model_Assumptions'!$C$8,CB$17*$C$11,IF(CB$16&gt;=('Model_Assumptions'!$C$8 + 1), CB$17*$D$11, ""))))</f>
        <v/>
      </c>
      <c r="CC20" s="21">
        <f>IF(CC$16="","",IF(CC$16=('Model_Assumptions'!$B$8+1), CC$17*$E$11,IF(CC$16&lt;='Model_Assumptions'!$C$8,CC$17*$C$11,IF(CC$16&gt;=('Model_Assumptions'!$C$8 + 1), CC$17*$D$11, ""))))</f>
        <v/>
      </c>
      <c r="CD20" s="21">
        <f>IF(CD$16="","",IF(CD$16=('Model_Assumptions'!$B$8+1), CD$17*$E$11,IF(CD$16&lt;='Model_Assumptions'!$C$8,CD$17*$C$11,IF(CD$16&gt;=('Model_Assumptions'!$C$8 + 1), CD$17*$D$11, ""))))</f>
        <v/>
      </c>
      <c r="CE20" s="21">
        <f>IF(CE$16="","",IF(CE$16=('Model_Assumptions'!$B$8+1), CE$17*$E$11,IF(CE$16&lt;='Model_Assumptions'!$C$8,CE$17*$C$11,IF(CE$16&gt;=('Model_Assumptions'!$C$8 + 1), CE$17*$D$11, ""))))</f>
        <v/>
      </c>
      <c r="CF20" s="21">
        <f>IF(CF$16="","",IF(CF$16=('Model_Assumptions'!$B$8+1), CF$17*$E$11,IF(CF$16&lt;='Model_Assumptions'!$C$8,CF$17*$C$11,IF(CF$16&gt;=('Model_Assumptions'!$C$8 + 1), CF$17*$D$11, ""))))</f>
        <v/>
      </c>
      <c r="CG20" s="21">
        <f>IF(CG$16="","",IF(CG$16=('Model_Assumptions'!$B$8+1), CG$17*$E$11,IF(CG$16&lt;='Model_Assumptions'!$C$8,CG$17*$C$11,IF(CG$16&gt;=('Model_Assumptions'!$C$8 + 1), CG$17*$D$11, ""))))</f>
        <v/>
      </c>
      <c r="CH20" s="21">
        <f>IF(CH$16="","",IF(CH$16=('Model_Assumptions'!$B$8+1), CH$17*$E$11,IF(CH$16&lt;='Model_Assumptions'!$C$8,CH$17*$C$11,IF(CH$16&gt;=('Model_Assumptions'!$C$8 + 1), CH$17*$D$11, ""))))</f>
        <v/>
      </c>
      <c r="CI20" s="21">
        <f>IF(CI$16="","",IF(CI$16=('Model_Assumptions'!$B$8+1), CI$17*$E$11,IF(CI$16&lt;='Model_Assumptions'!$C$8,CI$17*$C$11,IF(CI$16&gt;=('Model_Assumptions'!$C$8 + 1), CI$17*$D$11, ""))))</f>
        <v/>
      </c>
      <c r="CJ20" s="21">
        <f>IF(CJ$16="","",IF(CJ$16=('Model_Assumptions'!$B$8+1), CJ$17*$E$11,IF(CJ$16&lt;='Model_Assumptions'!$C$8,CJ$17*$C$11,IF(CJ$16&gt;=('Model_Assumptions'!$C$8 + 1), CJ$17*$D$11, ""))))</f>
        <v/>
      </c>
      <c r="CK20" s="21">
        <f>IF(CK$16="","",IF(CK$16=('Model_Assumptions'!$B$8+1), CK$17*$E$11,IF(CK$16&lt;='Model_Assumptions'!$C$8,CK$17*$C$11,IF(CK$16&gt;=('Model_Assumptions'!$C$8 + 1), CK$17*$D$11, ""))))</f>
        <v/>
      </c>
      <c r="CL20" s="21">
        <f>IF(CL$16="","",IF(CL$16=('Model_Assumptions'!$B$8+1), CL$17*$E$11,IF(CL$16&lt;='Model_Assumptions'!$C$8,CL$17*$C$11,IF(CL$16&gt;=('Model_Assumptions'!$C$8 + 1), CL$17*$D$11, ""))))</f>
        <v/>
      </c>
      <c r="CM20" s="22">
        <f>IF(CM$16="","",IF(CM$16=('Model_Assumptions'!$B$8+1), CM$17*$E$11,IF(CM$16&lt;='Model_Assumptions'!$C$8,CM$17*$C$11,IF(CM$16&gt;=('Model_Assumptions'!$C$8 + 1), CM$17*$D$11, ""))))</f>
        <v/>
      </c>
    </row>
    <row r="21">
      <c r="B21" s="19" t="inlineStr">
        <is>
          <t>Depreciation Tax Shield</t>
        </is>
      </c>
      <c r="C21" s="20" t="inlineStr"/>
      <c r="D21" s="21">
        <f>IF(D$16 = "","", IF(D$16 =( 'Model_Assumptions'!$B$8 +1), D$20 * $E$9, IF(D$16 &lt;= 'Model_Assumptions'!$C$8, D$20 * $C$9, IF(D$16 &gt;= ('Model_Assumptions'!$C$8 + 1), D$20 * $D$9))))</f>
        <v/>
      </c>
      <c r="E21" s="21">
        <f>IF(E$16 = "","", IF(E$16 =( 'Model_Assumptions'!$B$8 +1), E$20 * $E$9, IF(E$16 &lt;= 'Model_Assumptions'!$C$8, E$20 * $C$9, IF(E$16 &gt;= ('Model_Assumptions'!$C$8 + 1), E$20 * $D$9))))</f>
        <v/>
      </c>
      <c r="F21" s="21">
        <f>IF(F$16 = "","", IF(F$16 =( 'Model_Assumptions'!$B$8 +1), F$20 * $E$9, IF(F$16 &lt;= 'Model_Assumptions'!$C$8, F$20 * $C$9, IF(F$16 &gt;= ('Model_Assumptions'!$C$8 + 1), F$20 * $D$9))))</f>
        <v/>
      </c>
      <c r="G21" s="21">
        <f>IF(G$16 = "","", IF(G$16 =( 'Model_Assumptions'!$B$8 +1), G$20 * $E$9, IF(G$16 &lt;= 'Model_Assumptions'!$C$8, G$20 * $C$9, IF(G$16 &gt;= ('Model_Assumptions'!$C$8 + 1), G$20 * $D$9))))</f>
        <v/>
      </c>
      <c r="H21" s="21">
        <f>IF(H$16 = "","", IF(H$16 =( 'Model_Assumptions'!$B$8 +1), H$20 * $E$9, IF(H$16 &lt;= 'Model_Assumptions'!$C$8, H$20 * $C$9, IF(H$16 &gt;= ('Model_Assumptions'!$C$8 + 1), H$20 * $D$9))))</f>
        <v/>
      </c>
      <c r="I21" s="21">
        <f>IF(I$16 = "","", IF(I$16 =( 'Model_Assumptions'!$B$8 +1), I$20 * $E$9, IF(I$16 &lt;= 'Model_Assumptions'!$C$8, I$20 * $C$9, IF(I$16 &gt;= ('Model_Assumptions'!$C$8 + 1), I$20 * $D$9))))</f>
        <v/>
      </c>
      <c r="J21" s="21">
        <f>IF(J$16 = "","", IF(J$16 =( 'Model_Assumptions'!$B$8 +1), J$20 * $E$9, IF(J$16 &lt;= 'Model_Assumptions'!$C$8, J$20 * $C$9, IF(J$16 &gt;= ('Model_Assumptions'!$C$8 + 1), J$20 * $D$9))))</f>
        <v/>
      </c>
      <c r="K21" s="21">
        <f>IF(K$16 = "","", IF(K$16 =( 'Model_Assumptions'!$B$8 +1), K$20 * $E$9, IF(K$16 &lt;= 'Model_Assumptions'!$C$8, K$20 * $C$9, IF(K$16 &gt;= ('Model_Assumptions'!$C$8 + 1), K$20 * $D$9))))</f>
        <v/>
      </c>
      <c r="L21" s="21">
        <f>IF(L$16 = "","", IF(L$16 =( 'Model_Assumptions'!$B$8 +1), L$20 * $E$9, IF(L$16 &lt;= 'Model_Assumptions'!$C$8, L$20 * $C$9, IF(L$16 &gt;= ('Model_Assumptions'!$C$8 + 1), L$20 * $D$9))))</f>
        <v/>
      </c>
      <c r="M21" s="21">
        <f>IF(M$16 = "","", IF(M$16 =( 'Model_Assumptions'!$B$8 +1), M$20 * $E$9, IF(M$16 &lt;= 'Model_Assumptions'!$C$8, M$20 * $C$9, IF(M$16 &gt;= ('Model_Assumptions'!$C$8 + 1), M$20 * $D$9))))</f>
        <v/>
      </c>
      <c r="N21" s="21">
        <f>IF(N$16 = "","", IF(N$16 =( 'Model_Assumptions'!$B$8 +1), N$20 * $E$9, IF(N$16 &lt;= 'Model_Assumptions'!$C$8, N$20 * $C$9, IF(N$16 &gt;= ('Model_Assumptions'!$C$8 + 1), N$20 * $D$9))))</f>
        <v/>
      </c>
      <c r="O21" s="21">
        <f>IF(O$16 = "","", IF(O$16 =( 'Model_Assumptions'!$B$8 +1), O$20 * $E$9, IF(O$16 &lt;= 'Model_Assumptions'!$C$8, O$20 * $C$9, IF(O$16 &gt;= ('Model_Assumptions'!$C$8 + 1), O$20 * $D$9))))</f>
        <v/>
      </c>
      <c r="P21" s="21">
        <f>IF(P$16 = "","", IF(P$16 =( 'Model_Assumptions'!$B$8 +1), P$20 * $E$9, IF(P$16 &lt;= 'Model_Assumptions'!$C$8, P$20 * $C$9, IF(P$16 &gt;= ('Model_Assumptions'!$C$8 + 1), P$20 * $D$9))))</f>
        <v/>
      </c>
      <c r="Q21" s="21">
        <f>IF(Q$16 = "","", IF(Q$16 =( 'Model_Assumptions'!$B$8 +1), Q$20 * $E$9, IF(Q$16 &lt;= 'Model_Assumptions'!$C$8, Q$20 * $C$9, IF(Q$16 &gt;= ('Model_Assumptions'!$C$8 + 1), Q$20 * $D$9))))</f>
        <v/>
      </c>
      <c r="R21" s="21">
        <f>IF(R$16 = "","", IF(R$16 =( 'Model_Assumptions'!$B$8 +1), R$20 * $E$9, IF(R$16 &lt;= 'Model_Assumptions'!$C$8, R$20 * $C$9, IF(R$16 &gt;= ('Model_Assumptions'!$C$8 + 1), R$20 * $D$9))))</f>
        <v/>
      </c>
      <c r="S21" s="21">
        <f>IF(S$16 = "","", IF(S$16 =( 'Model_Assumptions'!$B$8 +1), S$20 * $E$9, IF(S$16 &lt;= 'Model_Assumptions'!$C$8, S$20 * $C$9, IF(S$16 &gt;= ('Model_Assumptions'!$C$8 + 1), S$20 * $D$9))))</f>
        <v/>
      </c>
      <c r="T21" s="21">
        <f>IF(T$16 = "","", IF(T$16 =( 'Model_Assumptions'!$B$8 +1), T$20 * $E$9, IF(T$16 &lt;= 'Model_Assumptions'!$C$8, T$20 * $C$9, IF(T$16 &gt;= ('Model_Assumptions'!$C$8 + 1), T$20 * $D$9))))</f>
        <v/>
      </c>
      <c r="U21" s="21">
        <f>IF(U$16 = "","", IF(U$16 =( 'Model_Assumptions'!$B$8 +1), U$20 * $E$9, IF(U$16 &lt;= 'Model_Assumptions'!$C$8, U$20 * $C$9, IF(U$16 &gt;= ('Model_Assumptions'!$C$8 + 1), U$20 * $D$9))))</f>
        <v/>
      </c>
      <c r="V21" s="21">
        <f>IF(V$16 = "","", IF(V$16 =( 'Model_Assumptions'!$B$8 +1), V$20 * $E$9, IF(V$16 &lt;= 'Model_Assumptions'!$C$8, V$20 * $C$9, IF(V$16 &gt;= ('Model_Assumptions'!$C$8 + 1), V$20 * $D$9))))</f>
        <v/>
      </c>
      <c r="W21" s="21">
        <f>IF(W$16 = "","", IF(W$16 =( 'Model_Assumptions'!$B$8 +1), W$20 * $E$9, IF(W$16 &lt;= 'Model_Assumptions'!$C$8, W$20 * $C$9, IF(W$16 &gt;= ('Model_Assumptions'!$C$8 + 1), W$20 * $D$9))))</f>
        <v/>
      </c>
      <c r="X21" s="21">
        <f>IF(X$16 = "","", IF(X$16 =( 'Model_Assumptions'!$B$8 +1), X$20 * $E$9, IF(X$16 &lt;= 'Model_Assumptions'!$C$8, X$20 * $C$9, IF(X$16 &gt;= ('Model_Assumptions'!$C$8 + 1), X$20 * $D$9))))</f>
        <v/>
      </c>
      <c r="Y21" s="21">
        <f>IF(Y$16 = "","", IF(Y$16 =( 'Model_Assumptions'!$B$8 +1), Y$20 * $E$9, IF(Y$16 &lt;= 'Model_Assumptions'!$C$8, Y$20 * $C$9, IF(Y$16 &gt;= ('Model_Assumptions'!$C$8 + 1), Y$20 * $D$9))))</f>
        <v/>
      </c>
      <c r="Z21" s="21">
        <f>IF(Z$16 = "","", IF(Z$16 =( 'Model_Assumptions'!$B$8 +1), Z$20 * $E$9, IF(Z$16 &lt;= 'Model_Assumptions'!$C$8, Z$20 * $C$9, IF(Z$16 &gt;= ('Model_Assumptions'!$C$8 + 1), Z$20 * $D$9))))</f>
        <v/>
      </c>
      <c r="AA21" s="21">
        <f>IF(AA$16 = "","", IF(AA$16 =( 'Model_Assumptions'!$B$8 +1), AA$20 * $E$9, IF(AA$16 &lt;= 'Model_Assumptions'!$C$8, AA$20 * $C$9, IF(AA$16 &gt;= ('Model_Assumptions'!$C$8 + 1), AA$20 * $D$9))))</f>
        <v/>
      </c>
      <c r="AB21" s="21">
        <f>IF(AB$16 = "","", IF(AB$16 =( 'Model_Assumptions'!$B$8 +1), AB$20 * $E$9, IF(AB$16 &lt;= 'Model_Assumptions'!$C$8, AB$20 * $C$9, IF(AB$16 &gt;= ('Model_Assumptions'!$C$8 + 1), AB$20 * $D$9))))</f>
        <v/>
      </c>
      <c r="AC21" s="21">
        <f>IF(AC$16 = "","", IF(AC$16 =( 'Model_Assumptions'!$B$8 +1), AC$20 * $E$9, IF(AC$16 &lt;= 'Model_Assumptions'!$C$8, AC$20 * $C$9, IF(AC$16 &gt;= ('Model_Assumptions'!$C$8 + 1), AC$20 * $D$9))))</f>
        <v/>
      </c>
      <c r="AD21" s="21">
        <f>IF(AD$16 = "","", IF(AD$16 =( 'Model_Assumptions'!$B$8 +1), AD$20 * $E$9, IF(AD$16 &lt;= 'Model_Assumptions'!$C$8, AD$20 * $C$9, IF(AD$16 &gt;= ('Model_Assumptions'!$C$8 + 1), AD$20 * $D$9))))</f>
        <v/>
      </c>
      <c r="AE21" s="21">
        <f>IF(AE$16 = "","", IF(AE$16 =( 'Model_Assumptions'!$B$8 +1), AE$20 * $E$9, IF(AE$16 &lt;= 'Model_Assumptions'!$C$8, AE$20 * $C$9, IF(AE$16 &gt;= ('Model_Assumptions'!$C$8 + 1), AE$20 * $D$9))))</f>
        <v/>
      </c>
      <c r="AF21" s="21">
        <f>IF(AF$16 = "","", IF(AF$16 =( 'Model_Assumptions'!$B$8 +1), AF$20 * $E$9, IF(AF$16 &lt;= 'Model_Assumptions'!$C$8, AF$20 * $C$9, IF(AF$16 &gt;= ('Model_Assumptions'!$C$8 + 1), AF$20 * $D$9))))</f>
        <v/>
      </c>
      <c r="AG21" s="21">
        <f>IF(AG$16 = "","", IF(AG$16 =( 'Model_Assumptions'!$B$8 +1), AG$20 * $E$9, IF(AG$16 &lt;= 'Model_Assumptions'!$C$8, AG$20 * $C$9, IF(AG$16 &gt;= ('Model_Assumptions'!$C$8 + 1), AG$20 * $D$9))))</f>
        <v/>
      </c>
      <c r="AH21" s="21">
        <f>IF(AH$16 = "","", IF(AH$16 =( 'Model_Assumptions'!$B$8 +1), AH$20 * $E$9, IF(AH$16 &lt;= 'Model_Assumptions'!$C$8, AH$20 * $C$9, IF(AH$16 &gt;= ('Model_Assumptions'!$C$8 + 1), AH$20 * $D$9))))</f>
        <v/>
      </c>
      <c r="AI21" s="21">
        <f>IF(AI$16 = "","", IF(AI$16 =( 'Model_Assumptions'!$B$8 +1), AI$20 * $E$9, IF(AI$16 &lt;= 'Model_Assumptions'!$C$8, AI$20 * $C$9, IF(AI$16 &gt;= ('Model_Assumptions'!$C$8 + 1), AI$20 * $D$9))))</f>
        <v/>
      </c>
      <c r="AJ21" s="21">
        <f>IF(AJ$16 = "","", IF(AJ$16 =( 'Model_Assumptions'!$B$8 +1), AJ$20 * $E$9, IF(AJ$16 &lt;= 'Model_Assumptions'!$C$8, AJ$20 * $C$9, IF(AJ$16 &gt;= ('Model_Assumptions'!$C$8 + 1), AJ$20 * $D$9))))</f>
        <v/>
      </c>
      <c r="AK21" s="21">
        <f>IF(AK$16 = "","", IF(AK$16 =( 'Model_Assumptions'!$B$8 +1), AK$20 * $E$9, IF(AK$16 &lt;= 'Model_Assumptions'!$C$8, AK$20 * $C$9, IF(AK$16 &gt;= ('Model_Assumptions'!$C$8 + 1), AK$20 * $D$9))))</f>
        <v/>
      </c>
      <c r="AL21" s="21">
        <f>IF(AL$16 = "","", IF(AL$16 =( 'Model_Assumptions'!$B$8 +1), AL$20 * $E$9, IF(AL$16 &lt;= 'Model_Assumptions'!$C$8, AL$20 * $C$9, IF(AL$16 &gt;= ('Model_Assumptions'!$C$8 + 1), AL$20 * $D$9))))</f>
        <v/>
      </c>
      <c r="AM21" s="21">
        <f>IF(AM$16 = "","", IF(AM$16 =( 'Model_Assumptions'!$B$8 +1), AM$20 * $E$9, IF(AM$16 &lt;= 'Model_Assumptions'!$C$8, AM$20 * $C$9, IF(AM$16 &gt;= ('Model_Assumptions'!$C$8 + 1), AM$20 * $D$9))))</f>
        <v/>
      </c>
      <c r="AN21" s="21">
        <f>IF(AN$16 = "","", IF(AN$16 =( 'Model_Assumptions'!$B$8 +1), AN$20 * $E$9, IF(AN$16 &lt;= 'Model_Assumptions'!$C$8, AN$20 * $C$9, IF(AN$16 &gt;= ('Model_Assumptions'!$C$8 + 1), AN$20 * $D$9))))</f>
        <v/>
      </c>
      <c r="AO21" s="21">
        <f>IF(AO$16 = "","", IF(AO$16 =( 'Model_Assumptions'!$B$8 +1), AO$20 * $E$9, IF(AO$16 &lt;= 'Model_Assumptions'!$C$8, AO$20 * $C$9, IF(AO$16 &gt;= ('Model_Assumptions'!$C$8 + 1), AO$20 * $D$9))))</f>
        <v/>
      </c>
      <c r="AP21" s="21">
        <f>IF(AP$16 = "","", IF(AP$16 =( 'Model_Assumptions'!$B$8 +1), AP$20 * $E$9, IF(AP$16 &lt;= 'Model_Assumptions'!$C$8, AP$20 * $C$9, IF(AP$16 &gt;= ('Model_Assumptions'!$C$8 + 1), AP$20 * $D$9))))</f>
        <v/>
      </c>
      <c r="AQ21" s="21">
        <f>IF(AQ$16 = "","", IF(AQ$16 =( 'Model_Assumptions'!$B$8 +1), AQ$20 * $E$9, IF(AQ$16 &lt;= 'Model_Assumptions'!$C$8, AQ$20 * $C$9, IF(AQ$16 &gt;= ('Model_Assumptions'!$C$8 + 1), AQ$20 * $D$9))))</f>
        <v/>
      </c>
      <c r="AR21" s="21">
        <f>IF(AR$16 = "","", IF(AR$16 =( 'Model_Assumptions'!$B$8 +1), AR$20 * $E$9, IF(AR$16 &lt;= 'Model_Assumptions'!$C$8, AR$20 * $C$9, IF(AR$16 &gt;= ('Model_Assumptions'!$C$8 + 1), AR$20 * $D$9))))</f>
        <v/>
      </c>
      <c r="AS21" s="21">
        <f>IF(AS$16 = "","", IF(AS$16 =( 'Model_Assumptions'!$B$8 +1), AS$20 * $E$9, IF(AS$16 &lt;= 'Model_Assumptions'!$C$8, AS$20 * $C$9, IF(AS$16 &gt;= ('Model_Assumptions'!$C$8 + 1), AS$20 * $D$9))))</f>
        <v/>
      </c>
      <c r="AT21" s="21">
        <f>IF(AT$16 = "","", IF(AT$16 =( 'Model_Assumptions'!$B$8 +1), AT$20 * $E$9, IF(AT$16 &lt;= 'Model_Assumptions'!$C$8, AT$20 * $C$9, IF(AT$16 &gt;= ('Model_Assumptions'!$C$8 + 1), AT$20 * $D$9))))</f>
        <v/>
      </c>
      <c r="AU21" s="21">
        <f>IF(AU$16 = "","", IF(AU$16 =( 'Model_Assumptions'!$B$8 +1), AU$20 * $E$9, IF(AU$16 &lt;= 'Model_Assumptions'!$C$8, AU$20 * $C$9, IF(AU$16 &gt;= ('Model_Assumptions'!$C$8 + 1), AU$20 * $D$9))))</f>
        <v/>
      </c>
      <c r="AV21" s="21">
        <f>IF(AV$16 = "","", IF(AV$16 =( 'Model_Assumptions'!$B$8 +1), AV$20 * $E$9, IF(AV$16 &lt;= 'Model_Assumptions'!$C$8, AV$20 * $C$9, IF(AV$16 &gt;= ('Model_Assumptions'!$C$8 + 1), AV$20 * $D$9))))</f>
        <v/>
      </c>
      <c r="AW21" s="21">
        <f>IF(AW$16 = "","", IF(AW$16 =( 'Model_Assumptions'!$B$8 +1), AW$20 * $E$9, IF(AW$16 &lt;= 'Model_Assumptions'!$C$8, AW$20 * $C$9, IF(AW$16 &gt;= ('Model_Assumptions'!$C$8 + 1), AW$20 * $D$9))))</f>
        <v/>
      </c>
      <c r="AX21" s="21">
        <f>IF(AX$16 = "","", IF(AX$16 =( 'Model_Assumptions'!$B$8 +1), AX$20 * $E$9, IF(AX$16 &lt;= 'Model_Assumptions'!$C$8, AX$20 * $C$9, IF(AX$16 &gt;= ('Model_Assumptions'!$C$8 + 1), AX$20 * $D$9))))</f>
        <v/>
      </c>
      <c r="AY21" s="21">
        <f>IF(AY$16 = "","", IF(AY$16 =( 'Model_Assumptions'!$B$8 +1), AY$20 * $E$9, IF(AY$16 &lt;= 'Model_Assumptions'!$C$8, AY$20 * $C$9, IF(AY$16 &gt;= ('Model_Assumptions'!$C$8 + 1), AY$20 * $D$9))))</f>
        <v/>
      </c>
      <c r="AZ21" s="21">
        <f>IF(AZ$16 = "","", IF(AZ$16 =( 'Model_Assumptions'!$B$8 +1), AZ$20 * $E$9, IF(AZ$16 &lt;= 'Model_Assumptions'!$C$8, AZ$20 * $C$9, IF(AZ$16 &gt;= ('Model_Assumptions'!$C$8 + 1), AZ$20 * $D$9))))</f>
        <v/>
      </c>
      <c r="BA21" s="21">
        <f>IF(BA$16 = "","", IF(BA$16 =( 'Model_Assumptions'!$B$8 +1), BA$20 * $E$9, IF(BA$16 &lt;= 'Model_Assumptions'!$C$8, BA$20 * $C$9, IF(BA$16 &gt;= ('Model_Assumptions'!$C$8 + 1), BA$20 * $D$9))))</f>
        <v/>
      </c>
      <c r="BB21" s="21">
        <f>IF(BB$16 = "","", IF(BB$16 =( 'Model_Assumptions'!$B$8 +1), BB$20 * $E$9, IF(BB$16 &lt;= 'Model_Assumptions'!$C$8, BB$20 * $C$9, IF(BB$16 &gt;= ('Model_Assumptions'!$C$8 + 1), BB$20 * $D$9))))</f>
        <v/>
      </c>
      <c r="BC21" s="21">
        <f>IF(BC$16 = "","", IF(BC$16 =( 'Model_Assumptions'!$B$8 +1), BC$20 * $E$9, IF(BC$16 &lt;= 'Model_Assumptions'!$C$8, BC$20 * $C$9, IF(BC$16 &gt;= ('Model_Assumptions'!$C$8 + 1), BC$20 * $D$9))))</f>
        <v/>
      </c>
      <c r="BD21" s="21">
        <f>IF(BD$16 = "","", IF(BD$16 =( 'Model_Assumptions'!$B$8 +1), BD$20 * $E$9, IF(BD$16 &lt;= 'Model_Assumptions'!$C$8, BD$20 * $C$9, IF(BD$16 &gt;= ('Model_Assumptions'!$C$8 + 1), BD$20 * $D$9))))</f>
        <v/>
      </c>
      <c r="BE21" s="21">
        <f>IF(BE$16 = "","", IF(BE$16 =( 'Model_Assumptions'!$B$8 +1), BE$20 * $E$9, IF(BE$16 &lt;= 'Model_Assumptions'!$C$8, BE$20 * $C$9, IF(BE$16 &gt;= ('Model_Assumptions'!$C$8 + 1), BE$20 * $D$9))))</f>
        <v/>
      </c>
      <c r="BF21" s="21">
        <f>IF(BF$16 = "","", IF(BF$16 =( 'Model_Assumptions'!$B$8 +1), BF$20 * $E$9, IF(BF$16 &lt;= 'Model_Assumptions'!$C$8, BF$20 * $C$9, IF(BF$16 &gt;= ('Model_Assumptions'!$C$8 + 1), BF$20 * $D$9))))</f>
        <v/>
      </c>
      <c r="BG21" s="21">
        <f>IF(BG$16 = "","", IF(BG$16 =( 'Model_Assumptions'!$B$8 +1), BG$20 * $E$9, IF(BG$16 &lt;= 'Model_Assumptions'!$C$8, BG$20 * $C$9, IF(BG$16 &gt;= ('Model_Assumptions'!$C$8 + 1), BG$20 * $D$9))))</f>
        <v/>
      </c>
      <c r="BH21" s="21">
        <f>IF(BH$16 = "","", IF(BH$16 =( 'Model_Assumptions'!$B$8 +1), BH$20 * $E$9, IF(BH$16 &lt;= 'Model_Assumptions'!$C$8, BH$20 * $C$9, IF(BH$16 &gt;= ('Model_Assumptions'!$C$8 + 1), BH$20 * $D$9))))</f>
        <v/>
      </c>
      <c r="BI21" s="21">
        <f>IF(BI$16 = "","", IF(BI$16 =( 'Model_Assumptions'!$B$8 +1), BI$20 * $E$9, IF(BI$16 &lt;= 'Model_Assumptions'!$C$8, BI$20 * $C$9, IF(BI$16 &gt;= ('Model_Assumptions'!$C$8 + 1), BI$20 * $D$9))))</f>
        <v/>
      </c>
      <c r="BJ21" s="21">
        <f>IF(BJ$16 = "","", IF(BJ$16 =( 'Model_Assumptions'!$B$8 +1), BJ$20 * $E$9, IF(BJ$16 &lt;= 'Model_Assumptions'!$C$8, BJ$20 * $C$9, IF(BJ$16 &gt;= ('Model_Assumptions'!$C$8 + 1), BJ$20 * $D$9))))</f>
        <v/>
      </c>
      <c r="BK21" s="21">
        <f>IF(BK$16 = "","", IF(BK$16 =( 'Model_Assumptions'!$B$8 +1), BK$20 * $E$9, IF(BK$16 &lt;= 'Model_Assumptions'!$C$8, BK$20 * $C$9, IF(BK$16 &gt;= ('Model_Assumptions'!$C$8 + 1), BK$20 * $D$9))))</f>
        <v/>
      </c>
      <c r="BL21" s="21">
        <f>IF(BL$16 = "","", IF(BL$16 =( 'Model_Assumptions'!$B$8 +1), BL$20 * $E$9, IF(BL$16 &lt;= 'Model_Assumptions'!$C$8, BL$20 * $C$9, IF(BL$16 &gt;= ('Model_Assumptions'!$C$8 + 1), BL$20 * $D$9))))</f>
        <v/>
      </c>
      <c r="BM21" s="21">
        <f>IF(BM$16 = "","", IF(BM$16 =( 'Model_Assumptions'!$B$8 +1), BM$20 * $E$9, IF(BM$16 &lt;= 'Model_Assumptions'!$C$8, BM$20 * $C$9, IF(BM$16 &gt;= ('Model_Assumptions'!$C$8 + 1), BM$20 * $D$9))))</f>
        <v/>
      </c>
      <c r="BN21" s="21">
        <f>IF(BN$16 = "","", IF(BN$16 =( 'Model_Assumptions'!$B$8 +1), BN$20 * $E$9, IF(BN$16 &lt;= 'Model_Assumptions'!$C$8, BN$20 * $C$9, IF(BN$16 &gt;= ('Model_Assumptions'!$C$8 + 1), BN$20 * $D$9))))</f>
        <v/>
      </c>
      <c r="BO21" s="21">
        <f>IF(BO$16 = "","", IF(BO$16 =( 'Model_Assumptions'!$B$8 +1), BO$20 * $E$9, IF(BO$16 &lt;= 'Model_Assumptions'!$C$8, BO$20 * $C$9, IF(BO$16 &gt;= ('Model_Assumptions'!$C$8 + 1), BO$20 * $D$9))))</f>
        <v/>
      </c>
      <c r="BP21" s="21">
        <f>IF(BP$16 = "","", IF(BP$16 =( 'Model_Assumptions'!$B$8 +1), BP$20 * $E$9, IF(BP$16 &lt;= 'Model_Assumptions'!$C$8, BP$20 * $C$9, IF(BP$16 &gt;= ('Model_Assumptions'!$C$8 + 1), BP$20 * $D$9))))</f>
        <v/>
      </c>
      <c r="BQ21" s="21">
        <f>IF(BQ$16 = "","", IF(BQ$16 =( 'Model_Assumptions'!$B$8 +1), BQ$20 * $E$9, IF(BQ$16 &lt;= 'Model_Assumptions'!$C$8, BQ$20 * $C$9, IF(BQ$16 &gt;= ('Model_Assumptions'!$C$8 + 1), BQ$20 * $D$9))))</f>
        <v/>
      </c>
      <c r="BR21" s="21">
        <f>IF(BR$16 = "","", IF(BR$16 =( 'Model_Assumptions'!$B$8 +1), BR$20 * $E$9, IF(BR$16 &lt;= 'Model_Assumptions'!$C$8, BR$20 * $C$9, IF(BR$16 &gt;= ('Model_Assumptions'!$C$8 + 1), BR$20 * $D$9))))</f>
        <v/>
      </c>
      <c r="BS21" s="21">
        <f>IF(BS$16 = "","", IF(BS$16 =( 'Model_Assumptions'!$B$8 +1), BS$20 * $E$9, IF(BS$16 &lt;= 'Model_Assumptions'!$C$8, BS$20 * $C$9, IF(BS$16 &gt;= ('Model_Assumptions'!$C$8 + 1), BS$20 * $D$9))))</f>
        <v/>
      </c>
      <c r="BT21" s="21">
        <f>IF(BT$16 = "","", IF(BT$16 =( 'Model_Assumptions'!$B$8 +1), BT$20 * $E$9, IF(BT$16 &lt;= 'Model_Assumptions'!$C$8, BT$20 * $C$9, IF(BT$16 &gt;= ('Model_Assumptions'!$C$8 + 1), BT$20 * $D$9))))</f>
        <v/>
      </c>
      <c r="BU21" s="21">
        <f>IF(BU$16 = "","", IF(BU$16 =( 'Model_Assumptions'!$B$8 +1), BU$20 * $E$9, IF(BU$16 &lt;= 'Model_Assumptions'!$C$8, BU$20 * $C$9, IF(BU$16 &gt;= ('Model_Assumptions'!$C$8 + 1), BU$20 * $D$9))))</f>
        <v/>
      </c>
      <c r="BV21" s="21">
        <f>IF(BV$16 = "","", IF(BV$16 =( 'Model_Assumptions'!$B$8 +1), BV$20 * $E$9, IF(BV$16 &lt;= 'Model_Assumptions'!$C$8, BV$20 * $C$9, IF(BV$16 &gt;= ('Model_Assumptions'!$C$8 + 1), BV$20 * $D$9))))</f>
        <v/>
      </c>
      <c r="BW21" s="21">
        <f>IF(BW$16 = "","", IF(BW$16 =( 'Model_Assumptions'!$B$8 +1), BW$20 * $E$9, IF(BW$16 &lt;= 'Model_Assumptions'!$C$8, BW$20 * $C$9, IF(BW$16 &gt;= ('Model_Assumptions'!$C$8 + 1), BW$20 * $D$9))))</f>
        <v/>
      </c>
      <c r="BX21" s="21">
        <f>IF(BX$16 = "","", IF(BX$16 =( 'Model_Assumptions'!$B$8 +1), BX$20 * $E$9, IF(BX$16 &lt;= 'Model_Assumptions'!$C$8, BX$20 * $C$9, IF(BX$16 &gt;= ('Model_Assumptions'!$C$8 + 1), BX$20 * $D$9))))</f>
        <v/>
      </c>
      <c r="BY21" s="21">
        <f>IF(BY$16 = "","", IF(BY$16 =( 'Model_Assumptions'!$B$8 +1), BY$20 * $E$9, IF(BY$16 &lt;= 'Model_Assumptions'!$C$8, BY$20 * $C$9, IF(BY$16 &gt;= ('Model_Assumptions'!$C$8 + 1), BY$20 * $D$9))))</f>
        <v/>
      </c>
      <c r="BZ21" s="21">
        <f>IF(BZ$16 = "","", IF(BZ$16 =( 'Model_Assumptions'!$B$8 +1), BZ$20 * $E$9, IF(BZ$16 &lt;= 'Model_Assumptions'!$C$8, BZ$20 * $C$9, IF(BZ$16 &gt;= ('Model_Assumptions'!$C$8 + 1), BZ$20 * $D$9))))</f>
        <v/>
      </c>
      <c r="CA21" s="21">
        <f>IF(CA$16 = "","", IF(CA$16 =( 'Model_Assumptions'!$B$8 +1), CA$20 * $E$9, IF(CA$16 &lt;= 'Model_Assumptions'!$C$8, CA$20 * $C$9, IF(CA$16 &gt;= ('Model_Assumptions'!$C$8 + 1), CA$20 * $D$9))))</f>
        <v/>
      </c>
      <c r="CB21" s="21">
        <f>IF(CB$16 = "","", IF(CB$16 =( 'Model_Assumptions'!$B$8 +1), CB$20 * $E$9, IF(CB$16 &lt;= 'Model_Assumptions'!$C$8, CB$20 * $C$9, IF(CB$16 &gt;= ('Model_Assumptions'!$C$8 + 1), CB$20 * $D$9))))</f>
        <v/>
      </c>
      <c r="CC21" s="21">
        <f>IF(CC$16 = "","", IF(CC$16 =( 'Model_Assumptions'!$B$8 +1), CC$20 * $E$9, IF(CC$16 &lt;= 'Model_Assumptions'!$C$8, CC$20 * $C$9, IF(CC$16 &gt;= ('Model_Assumptions'!$C$8 + 1), CC$20 * $D$9))))</f>
        <v/>
      </c>
      <c r="CD21" s="21">
        <f>IF(CD$16 = "","", IF(CD$16 =( 'Model_Assumptions'!$B$8 +1), CD$20 * $E$9, IF(CD$16 &lt;= 'Model_Assumptions'!$C$8, CD$20 * $C$9, IF(CD$16 &gt;= ('Model_Assumptions'!$C$8 + 1), CD$20 * $D$9))))</f>
        <v/>
      </c>
      <c r="CE21" s="21">
        <f>IF(CE$16 = "","", IF(CE$16 =( 'Model_Assumptions'!$B$8 +1), CE$20 * $E$9, IF(CE$16 &lt;= 'Model_Assumptions'!$C$8, CE$20 * $C$9, IF(CE$16 &gt;= ('Model_Assumptions'!$C$8 + 1), CE$20 * $D$9))))</f>
        <v/>
      </c>
      <c r="CF21" s="21">
        <f>IF(CF$16 = "","", IF(CF$16 =( 'Model_Assumptions'!$B$8 +1), CF$20 * $E$9, IF(CF$16 &lt;= 'Model_Assumptions'!$C$8, CF$20 * $C$9, IF(CF$16 &gt;= ('Model_Assumptions'!$C$8 + 1), CF$20 * $D$9))))</f>
        <v/>
      </c>
      <c r="CG21" s="21">
        <f>IF(CG$16 = "","", IF(CG$16 =( 'Model_Assumptions'!$B$8 +1), CG$20 * $E$9, IF(CG$16 &lt;= 'Model_Assumptions'!$C$8, CG$20 * $C$9, IF(CG$16 &gt;= ('Model_Assumptions'!$C$8 + 1), CG$20 * $D$9))))</f>
        <v/>
      </c>
      <c r="CH21" s="21">
        <f>IF(CH$16 = "","", IF(CH$16 =( 'Model_Assumptions'!$B$8 +1), CH$20 * $E$9, IF(CH$16 &lt;= 'Model_Assumptions'!$C$8, CH$20 * $C$9, IF(CH$16 &gt;= ('Model_Assumptions'!$C$8 + 1), CH$20 * $D$9))))</f>
        <v/>
      </c>
      <c r="CI21" s="21">
        <f>IF(CI$16 = "","", IF(CI$16 =( 'Model_Assumptions'!$B$8 +1), CI$20 * $E$9, IF(CI$16 &lt;= 'Model_Assumptions'!$C$8, CI$20 * $C$9, IF(CI$16 &gt;= ('Model_Assumptions'!$C$8 + 1), CI$20 * $D$9))))</f>
        <v/>
      </c>
      <c r="CJ21" s="21">
        <f>IF(CJ$16 = "","", IF(CJ$16 =( 'Model_Assumptions'!$B$8 +1), CJ$20 * $E$9, IF(CJ$16 &lt;= 'Model_Assumptions'!$C$8, CJ$20 * $C$9, IF(CJ$16 &gt;= ('Model_Assumptions'!$C$8 + 1), CJ$20 * $D$9))))</f>
        <v/>
      </c>
      <c r="CK21" s="21">
        <f>IF(CK$16 = "","", IF(CK$16 =( 'Model_Assumptions'!$B$8 +1), CK$20 * $E$9, IF(CK$16 &lt;= 'Model_Assumptions'!$C$8, CK$20 * $C$9, IF(CK$16 &gt;= ('Model_Assumptions'!$C$8 + 1), CK$20 * $D$9))))</f>
        <v/>
      </c>
      <c r="CL21" s="21">
        <f>IF(CL$16 = "","", IF(CL$16 =( 'Model_Assumptions'!$B$8 +1), CL$20 * $E$9, IF(CL$16 &lt;= 'Model_Assumptions'!$C$8, CL$20 * $C$9, IF(CL$16 &gt;= ('Model_Assumptions'!$C$8 + 1), CL$20 * $D$9))))</f>
        <v/>
      </c>
      <c r="CM21" s="22">
        <f>IF(CM$16 = "","", IF(CM$16 =( 'Model_Assumptions'!$B$8 +1), CM$20 * $E$9, IF(CM$16 &lt;= 'Model_Assumptions'!$C$8, CM$20 * $C$9, IF(CM$16 &gt;= ('Model_Assumptions'!$C$8 + 1), CM$20 * $D$9))))</f>
        <v/>
      </c>
    </row>
    <row r="22">
      <c r="B22" s="19" t="inlineStr">
        <is>
          <t>Change in Working Capital</t>
        </is>
      </c>
      <c r="C22" s="20" t="inlineStr"/>
      <c r="D22" s="21">
        <f>IF(D$16="","",IF(D$16=('Model_Assumptions'!$B$8+1),( D$17-C$17)*$E$12,IF(D$16&lt;='Model_Assumptions'!$C$8,( D$17-C$17)*$C$12,IF(D$16&gt;=('Model_Assumptions'!$C$8 + 1), ( D$17-C$17)*$D$12, ""))))</f>
        <v/>
      </c>
      <c r="E22" s="21">
        <f>IF(E$16="","",IF(E$16=('Model_Assumptions'!$B$8+1),( E$17-D$17)*$E$12,IF(E$16&lt;='Model_Assumptions'!$C$8,( E$17-D$17)*$C$12,IF(E$16&gt;=('Model_Assumptions'!$C$8 + 1), ( E$17-D$17)*$D$12, ""))))</f>
        <v/>
      </c>
      <c r="F22" s="21">
        <f>IF(F$16="","",IF(F$16=('Model_Assumptions'!$B$8+1),( F$17-E$17)*$E$12,IF(F$16&lt;='Model_Assumptions'!$C$8,( F$17-E$17)*$C$12,IF(F$16&gt;=('Model_Assumptions'!$C$8 + 1), ( F$17-E$17)*$D$12, ""))))</f>
        <v/>
      </c>
      <c r="G22" s="21">
        <f>IF(G$16="","",IF(G$16=('Model_Assumptions'!$B$8+1),( G$17-F$17)*$E$12,IF(G$16&lt;='Model_Assumptions'!$C$8,( G$17-F$17)*$C$12,IF(G$16&gt;=('Model_Assumptions'!$C$8 + 1), ( G$17-F$17)*$D$12, ""))))</f>
        <v/>
      </c>
      <c r="H22" s="21">
        <f>IF(H$16="","",IF(H$16=('Model_Assumptions'!$B$8+1),( H$17-G$17)*$E$12,IF(H$16&lt;='Model_Assumptions'!$C$8,( H$17-G$17)*$C$12,IF(H$16&gt;=('Model_Assumptions'!$C$8 + 1), ( H$17-G$17)*$D$12, ""))))</f>
        <v/>
      </c>
      <c r="I22" s="21">
        <f>IF(I$16="","",IF(I$16=('Model_Assumptions'!$B$8+1),( I$17-H$17)*$E$12,IF(I$16&lt;='Model_Assumptions'!$C$8,( I$17-H$17)*$C$12,IF(I$16&gt;=('Model_Assumptions'!$C$8 + 1), ( I$17-H$17)*$D$12, ""))))</f>
        <v/>
      </c>
      <c r="J22" s="21">
        <f>IF(J$16="","",IF(J$16=('Model_Assumptions'!$B$8+1),( J$17-I$17)*$E$12,IF(J$16&lt;='Model_Assumptions'!$C$8,( J$17-I$17)*$C$12,IF(J$16&gt;=('Model_Assumptions'!$C$8 + 1), ( J$17-I$17)*$D$12, ""))))</f>
        <v/>
      </c>
      <c r="K22" s="21">
        <f>IF(K$16="","",IF(K$16=('Model_Assumptions'!$B$8+1),( K$17-J$17)*$E$12,IF(K$16&lt;='Model_Assumptions'!$C$8,( K$17-J$17)*$C$12,IF(K$16&gt;=('Model_Assumptions'!$C$8 + 1), ( K$17-J$17)*$D$12, ""))))</f>
        <v/>
      </c>
      <c r="L22" s="21">
        <f>IF(L$16="","",IF(L$16=('Model_Assumptions'!$B$8+1),( L$17-K$17)*$E$12,IF(L$16&lt;='Model_Assumptions'!$C$8,( L$17-K$17)*$C$12,IF(L$16&gt;=('Model_Assumptions'!$C$8 + 1), ( L$17-K$17)*$D$12, ""))))</f>
        <v/>
      </c>
      <c r="M22" s="21">
        <f>IF(M$16="","",IF(M$16=('Model_Assumptions'!$B$8+1),( M$17-L$17)*$E$12,IF(M$16&lt;='Model_Assumptions'!$C$8,( M$17-L$17)*$C$12,IF(M$16&gt;=('Model_Assumptions'!$C$8 + 1), ( M$17-L$17)*$D$12, ""))))</f>
        <v/>
      </c>
      <c r="N22" s="21">
        <f>IF(N$16="","",IF(N$16=('Model_Assumptions'!$B$8+1),( N$17-M$17)*$E$12,IF(N$16&lt;='Model_Assumptions'!$C$8,( N$17-M$17)*$C$12,IF(N$16&gt;=('Model_Assumptions'!$C$8 + 1), ( N$17-M$17)*$D$12, ""))))</f>
        <v/>
      </c>
      <c r="O22" s="21">
        <f>IF(O$16="","",IF(O$16=('Model_Assumptions'!$B$8+1),( O$17-N$17)*$E$12,IF(O$16&lt;='Model_Assumptions'!$C$8,( O$17-N$17)*$C$12,IF(O$16&gt;=('Model_Assumptions'!$C$8 + 1), ( O$17-N$17)*$D$12, ""))))</f>
        <v/>
      </c>
      <c r="P22" s="21">
        <f>IF(P$16="","",IF(P$16=('Model_Assumptions'!$B$8+1),( P$17-O$17)*$E$12,IF(P$16&lt;='Model_Assumptions'!$C$8,( P$17-O$17)*$C$12,IF(P$16&gt;=('Model_Assumptions'!$C$8 + 1), ( P$17-O$17)*$D$12, ""))))</f>
        <v/>
      </c>
      <c r="Q22" s="21">
        <f>IF(Q$16="","",IF(Q$16=('Model_Assumptions'!$B$8+1),( Q$17-P$17)*$E$12,IF(Q$16&lt;='Model_Assumptions'!$C$8,( Q$17-P$17)*$C$12,IF(Q$16&gt;=('Model_Assumptions'!$C$8 + 1), ( Q$17-P$17)*$D$12, ""))))</f>
        <v/>
      </c>
      <c r="R22" s="21">
        <f>IF(R$16="","",IF(R$16=('Model_Assumptions'!$B$8+1),( R$17-Q$17)*$E$12,IF(R$16&lt;='Model_Assumptions'!$C$8,( R$17-Q$17)*$C$12,IF(R$16&gt;=('Model_Assumptions'!$C$8 + 1), ( R$17-Q$17)*$D$12, ""))))</f>
        <v/>
      </c>
      <c r="S22" s="21">
        <f>IF(S$16="","",IF(S$16=('Model_Assumptions'!$B$8+1),( S$17-R$17)*$E$12,IF(S$16&lt;='Model_Assumptions'!$C$8,( S$17-R$17)*$C$12,IF(S$16&gt;=('Model_Assumptions'!$C$8 + 1), ( S$17-R$17)*$D$12, ""))))</f>
        <v/>
      </c>
      <c r="T22" s="21">
        <f>IF(T$16="","",IF(T$16=('Model_Assumptions'!$B$8+1),( T$17-S$17)*$E$12,IF(T$16&lt;='Model_Assumptions'!$C$8,( T$17-S$17)*$C$12,IF(T$16&gt;=('Model_Assumptions'!$C$8 + 1), ( T$17-S$17)*$D$12, ""))))</f>
        <v/>
      </c>
      <c r="U22" s="21">
        <f>IF(U$16="","",IF(U$16=('Model_Assumptions'!$B$8+1),( U$17-T$17)*$E$12,IF(U$16&lt;='Model_Assumptions'!$C$8,( U$17-T$17)*$C$12,IF(U$16&gt;=('Model_Assumptions'!$C$8 + 1), ( U$17-T$17)*$D$12, ""))))</f>
        <v/>
      </c>
      <c r="V22" s="21">
        <f>IF(V$16="","",IF(V$16=('Model_Assumptions'!$B$8+1),( V$17-U$17)*$E$12,IF(V$16&lt;='Model_Assumptions'!$C$8,( V$17-U$17)*$C$12,IF(V$16&gt;=('Model_Assumptions'!$C$8 + 1), ( V$17-U$17)*$D$12, ""))))</f>
        <v/>
      </c>
      <c r="W22" s="21">
        <f>IF(W$16="","",IF(W$16=('Model_Assumptions'!$B$8+1),( W$17-V$17)*$E$12,IF(W$16&lt;='Model_Assumptions'!$C$8,( W$17-V$17)*$C$12,IF(W$16&gt;=('Model_Assumptions'!$C$8 + 1), ( W$17-V$17)*$D$12, ""))))</f>
        <v/>
      </c>
      <c r="X22" s="21">
        <f>IF(X$16="","",IF(X$16=('Model_Assumptions'!$B$8+1),( X$17-W$17)*$E$12,IF(X$16&lt;='Model_Assumptions'!$C$8,( X$17-W$17)*$C$12,IF(X$16&gt;=('Model_Assumptions'!$C$8 + 1), ( X$17-W$17)*$D$12, ""))))</f>
        <v/>
      </c>
      <c r="Y22" s="21">
        <f>IF(Y$16="","",IF(Y$16=('Model_Assumptions'!$B$8+1),( Y$17-X$17)*$E$12,IF(Y$16&lt;='Model_Assumptions'!$C$8,( Y$17-X$17)*$C$12,IF(Y$16&gt;=('Model_Assumptions'!$C$8 + 1), ( Y$17-X$17)*$D$12, ""))))</f>
        <v/>
      </c>
      <c r="Z22" s="21">
        <f>IF(Z$16="","",IF(Z$16=('Model_Assumptions'!$B$8+1),( Z$17-Y$17)*$E$12,IF(Z$16&lt;='Model_Assumptions'!$C$8,( Z$17-Y$17)*$C$12,IF(Z$16&gt;=('Model_Assumptions'!$C$8 + 1), ( Z$17-Y$17)*$D$12, ""))))</f>
        <v/>
      </c>
      <c r="AA22" s="21">
        <f>IF(AA$16="","",IF(AA$16=('Model_Assumptions'!$B$8+1),( AA$17-Z$17)*$E$12,IF(AA$16&lt;='Model_Assumptions'!$C$8,( AA$17-Z$17)*$C$12,IF(AA$16&gt;=('Model_Assumptions'!$C$8 + 1), ( AA$17-Z$17)*$D$12, ""))))</f>
        <v/>
      </c>
      <c r="AB22" s="21">
        <f>IF(AB$16="","",IF(AB$16=('Model_Assumptions'!$B$8+1),( AB$17-AA$17)*$E$12,IF(AB$16&lt;='Model_Assumptions'!$C$8,( AB$17-AA$17)*$C$12,IF(AB$16&gt;=('Model_Assumptions'!$C$8 + 1), ( AB$17-AA$17)*$D$12, ""))))</f>
        <v/>
      </c>
      <c r="AC22" s="21">
        <f>IF(AC$16="","",IF(AC$16=('Model_Assumptions'!$B$8+1),( AC$17-AB$17)*$E$12,IF(AC$16&lt;='Model_Assumptions'!$C$8,( AC$17-AB$17)*$C$12,IF(AC$16&gt;=('Model_Assumptions'!$C$8 + 1), ( AC$17-AB$17)*$D$12, ""))))</f>
        <v/>
      </c>
      <c r="AD22" s="21">
        <f>IF(AD$16="","",IF(AD$16=('Model_Assumptions'!$B$8+1),( AD$17-AC$17)*$E$12,IF(AD$16&lt;='Model_Assumptions'!$C$8,( AD$17-AC$17)*$C$12,IF(AD$16&gt;=('Model_Assumptions'!$C$8 + 1), ( AD$17-AC$17)*$D$12, ""))))</f>
        <v/>
      </c>
      <c r="AE22" s="21">
        <f>IF(AE$16="","",IF(AE$16=('Model_Assumptions'!$B$8+1),( AE$17-AD$17)*$E$12,IF(AE$16&lt;='Model_Assumptions'!$C$8,( AE$17-AD$17)*$C$12,IF(AE$16&gt;=('Model_Assumptions'!$C$8 + 1), ( AE$17-AD$17)*$D$12, ""))))</f>
        <v/>
      </c>
      <c r="AF22" s="21">
        <f>IF(AF$16="","",IF(AF$16=('Model_Assumptions'!$B$8+1),( AF$17-AE$17)*$E$12,IF(AF$16&lt;='Model_Assumptions'!$C$8,( AF$17-AE$17)*$C$12,IF(AF$16&gt;=('Model_Assumptions'!$C$8 + 1), ( AF$17-AE$17)*$D$12, ""))))</f>
        <v/>
      </c>
      <c r="AG22" s="21">
        <f>IF(AG$16="","",IF(AG$16=('Model_Assumptions'!$B$8+1),( AG$17-AF$17)*$E$12,IF(AG$16&lt;='Model_Assumptions'!$C$8,( AG$17-AF$17)*$C$12,IF(AG$16&gt;=('Model_Assumptions'!$C$8 + 1), ( AG$17-AF$17)*$D$12, ""))))</f>
        <v/>
      </c>
      <c r="AH22" s="21">
        <f>IF(AH$16="","",IF(AH$16=('Model_Assumptions'!$B$8+1),( AH$17-AG$17)*$E$12,IF(AH$16&lt;='Model_Assumptions'!$C$8,( AH$17-AG$17)*$C$12,IF(AH$16&gt;=('Model_Assumptions'!$C$8 + 1), ( AH$17-AG$17)*$D$12, ""))))</f>
        <v/>
      </c>
      <c r="AI22" s="21">
        <f>IF(AI$16="","",IF(AI$16=('Model_Assumptions'!$B$8+1),( AI$17-AH$17)*$E$12,IF(AI$16&lt;='Model_Assumptions'!$C$8,( AI$17-AH$17)*$C$12,IF(AI$16&gt;=('Model_Assumptions'!$C$8 + 1), ( AI$17-AH$17)*$D$12, ""))))</f>
        <v/>
      </c>
      <c r="AJ22" s="21">
        <f>IF(AJ$16="","",IF(AJ$16=('Model_Assumptions'!$B$8+1),( AJ$17-AI$17)*$E$12,IF(AJ$16&lt;='Model_Assumptions'!$C$8,( AJ$17-AI$17)*$C$12,IF(AJ$16&gt;=('Model_Assumptions'!$C$8 + 1), ( AJ$17-AI$17)*$D$12, ""))))</f>
        <v/>
      </c>
      <c r="AK22" s="21">
        <f>IF(AK$16="","",IF(AK$16=('Model_Assumptions'!$B$8+1),( AK$17-AJ$17)*$E$12,IF(AK$16&lt;='Model_Assumptions'!$C$8,( AK$17-AJ$17)*$C$12,IF(AK$16&gt;=('Model_Assumptions'!$C$8 + 1), ( AK$17-AJ$17)*$D$12, ""))))</f>
        <v/>
      </c>
      <c r="AL22" s="21">
        <f>IF(AL$16="","",IF(AL$16=('Model_Assumptions'!$B$8+1),( AL$17-AK$17)*$E$12,IF(AL$16&lt;='Model_Assumptions'!$C$8,( AL$17-AK$17)*$C$12,IF(AL$16&gt;=('Model_Assumptions'!$C$8 + 1), ( AL$17-AK$17)*$D$12, ""))))</f>
        <v/>
      </c>
      <c r="AM22" s="21">
        <f>IF(AM$16="","",IF(AM$16=('Model_Assumptions'!$B$8+1),( AM$17-AL$17)*$E$12,IF(AM$16&lt;='Model_Assumptions'!$C$8,( AM$17-AL$17)*$C$12,IF(AM$16&gt;=('Model_Assumptions'!$C$8 + 1), ( AM$17-AL$17)*$D$12, ""))))</f>
        <v/>
      </c>
      <c r="AN22" s="21">
        <f>IF(AN$16="","",IF(AN$16=('Model_Assumptions'!$B$8+1),( AN$17-AM$17)*$E$12,IF(AN$16&lt;='Model_Assumptions'!$C$8,( AN$17-AM$17)*$C$12,IF(AN$16&gt;=('Model_Assumptions'!$C$8 + 1), ( AN$17-AM$17)*$D$12, ""))))</f>
        <v/>
      </c>
      <c r="AO22" s="21">
        <f>IF(AO$16="","",IF(AO$16=('Model_Assumptions'!$B$8+1),( AO$17-AN$17)*$E$12,IF(AO$16&lt;='Model_Assumptions'!$C$8,( AO$17-AN$17)*$C$12,IF(AO$16&gt;=('Model_Assumptions'!$C$8 + 1), ( AO$17-AN$17)*$D$12, ""))))</f>
        <v/>
      </c>
      <c r="AP22" s="21">
        <f>IF(AP$16="","",IF(AP$16=('Model_Assumptions'!$B$8+1),( AP$17-AO$17)*$E$12,IF(AP$16&lt;='Model_Assumptions'!$C$8,( AP$17-AO$17)*$C$12,IF(AP$16&gt;=('Model_Assumptions'!$C$8 + 1), ( AP$17-AO$17)*$D$12, ""))))</f>
        <v/>
      </c>
      <c r="AQ22" s="21">
        <f>IF(AQ$16="","",IF(AQ$16=('Model_Assumptions'!$B$8+1),( AQ$17-AP$17)*$E$12,IF(AQ$16&lt;='Model_Assumptions'!$C$8,( AQ$17-AP$17)*$C$12,IF(AQ$16&gt;=('Model_Assumptions'!$C$8 + 1), ( AQ$17-AP$17)*$D$12, ""))))</f>
        <v/>
      </c>
      <c r="AR22" s="21">
        <f>IF(AR$16="","",IF(AR$16=('Model_Assumptions'!$B$8+1),( AR$17-AQ$17)*$E$12,IF(AR$16&lt;='Model_Assumptions'!$C$8,( AR$17-AQ$17)*$C$12,IF(AR$16&gt;=('Model_Assumptions'!$C$8 + 1), ( AR$17-AQ$17)*$D$12, ""))))</f>
        <v/>
      </c>
      <c r="AS22" s="21">
        <f>IF(AS$16="","",IF(AS$16=('Model_Assumptions'!$B$8+1),( AS$17-AR$17)*$E$12,IF(AS$16&lt;='Model_Assumptions'!$C$8,( AS$17-AR$17)*$C$12,IF(AS$16&gt;=('Model_Assumptions'!$C$8 + 1), ( AS$17-AR$17)*$D$12, ""))))</f>
        <v/>
      </c>
      <c r="AT22" s="21">
        <f>IF(AT$16="","",IF(AT$16=('Model_Assumptions'!$B$8+1),( AT$17-AS$17)*$E$12,IF(AT$16&lt;='Model_Assumptions'!$C$8,( AT$17-AS$17)*$C$12,IF(AT$16&gt;=('Model_Assumptions'!$C$8 + 1), ( AT$17-AS$17)*$D$12, ""))))</f>
        <v/>
      </c>
      <c r="AU22" s="21">
        <f>IF(AU$16="","",IF(AU$16=('Model_Assumptions'!$B$8+1),( AU$17-AT$17)*$E$12,IF(AU$16&lt;='Model_Assumptions'!$C$8,( AU$17-AT$17)*$C$12,IF(AU$16&gt;=('Model_Assumptions'!$C$8 + 1), ( AU$17-AT$17)*$D$12, ""))))</f>
        <v/>
      </c>
      <c r="AV22" s="21">
        <f>IF(AV$16="","",IF(AV$16=('Model_Assumptions'!$B$8+1),( AV$17-AU$17)*$E$12,IF(AV$16&lt;='Model_Assumptions'!$C$8,( AV$17-AU$17)*$C$12,IF(AV$16&gt;=('Model_Assumptions'!$C$8 + 1), ( AV$17-AU$17)*$D$12, ""))))</f>
        <v/>
      </c>
      <c r="AW22" s="21">
        <f>IF(AW$16="","",IF(AW$16=('Model_Assumptions'!$B$8+1),( AW$17-AV$17)*$E$12,IF(AW$16&lt;='Model_Assumptions'!$C$8,( AW$17-AV$17)*$C$12,IF(AW$16&gt;=('Model_Assumptions'!$C$8 + 1), ( AW$17-AV$17)*$D$12, ""))))</f>
        <v/>
      </c>
      <c r="AX22" s="21">
        <f>IF(AX$16="","",IF(AX$16=('Model_Assumptions'!$B$8+1),( AX$17-AW$17)*$E$12,IF(AX$16&lt;='Model_Assumptions'!$C$8,( AX$17-AW$17)*$C$12,IF(AX$16&gt;=('Model_Assumptions'!$C$8 + 1), ( AX$17-AW$17)*$D$12, ""))))</f>
        <v/>
      </c>
      <c r="AY22" s="21">
        <f>IF(AY$16="","",IF(AY$16=('Model_Assumptions'!$B$8+1),( AY$17-AX$17)*$E$12,IF(AY$16&lt;='Model_Assumptions'!$C$8,( AY$17-AX$17)*$C$12,IF(AY$16&gt;=('Model_Assumptions'!$C$8 + 1), ( AY$17-AX$17)*$D$12, ""))))</f>
        <v/>
      </c>
      <c r="AZ22" s="21">
        <f>IF(AZ$16="","",IF(AZ$16=('Model_Assumptions'!$B$8+1),( AZ$17-AY$17)*$E$12,IF(AZ$16&lt;='Model_Assumptions'!$C$8,( AZ$17-AY$17)*$C$12,IF(AZ$16&gt;=('Model_Assumptions'!$C$8 + 1), ( AZ$17-AY$17)*$D$12, ""))))</f>
        <v/>
      </c>
      <c r="BA22" s="21">
        <f>IF(BA$16="","",IF(BA$16=('Model_Assumptions'!$B$8+1),( BA$17-AZ$17)*$E$12,IF(BA$16&lt;='Model_Assumptions'!$C$8,( BA$17-AZ$17)*$C$12,IF(BA$16&gt;=('Model_Assumptions'!$C$8 + 1), ( BA$17-AZ$17)*$D$12, ""))))</f>
        <v/>
      </c>
      <c r="BB22" s="21">
        <f>IF(BB$16="","",IF(BB$16=('Model_Assumptions'!$B$8+1),( BB$17-BA$17)*$E$12,IF(BB$16&lt;='Model_Assumptions'!$C$8,( BB$17-BA$17)*$C$12,IF(BB$16&gt;=('Model_Assumptions'!$C$8 + 1), ( BB$17-BA$17)*$D$12, ""))))</f>
        <v/>
      </c>
      <c r="BC22" s="21">
        <f>IF(BC$16="","",IF(BC$16=('Model_Assumptions'!$B$8+1),( BC$17-BB$17)*$E$12,IF(BC$16&lt;='Model_Assumptions'!$C$8,( BC$17-BB$17)*$C$12,IF(BC$16&gt;=('Model_Assumptions'!$C$8 + 1), ( BC$17-BB$17)*$D$12, ""))))</f>
        <v/>
      </c>
      <c r="BD22" s="21">
        <f>IF(BD$16="","",IF(BD$16=('Model_Assumptions'!$B$8+1),( BD$17-BC$17)*$E$12,IF(BD$16&lt;='Model_Assumptions'!$C$8,( BD$17-BC$17)*$C$12,IF(BD$16&gt;=('Model_Assumptions'!$C$8 + 1), ( BD$17-BC$17)*$D$12, ""))))</f>
        <v/>
      </c>
      <c r="BE22" s="21">
        <f>IF(BE$16="","",IF(BE$16=('Model_Assumptions'!$B$8+1),( BE$17-BD$17)*$E$12,IF(BE$16&lt;='Model_Assumptions'!$C$8,( BE$17-BD$17)*$C$12,IF(BE$16&gt;=('Model_Assumptions'!$C$8 + 1), ( BE$17-BD$17)*$D$12, ""))))</f>
        <v/>
      </c>
      <c r="BF22" s="21">
        <f>IF(BF$16="","",IF(BF$16=('Model_Assumptions'!$B$8+1),( BF$17-BE$17)*$E$12,IF(BF$16&lt;='Model_Assumptions'!$C$8,( BF$17-BE$17)*$C$12,IF(BF$16&gt;=('Model_Assumptions'!$C$8 + 1), ( BF$17-BE$17)*$D$12, ""))))</f>
        <v/>
      </c>
      <c r="BG22" s="21">
        <f>IF(BG$16="","",IF(BG$16=('Model_Assumptions'!$B$8+1),( BG$17-BF$17)*$E$12,IF(BG$16&lt;='Model_Assumptions'!$C$8,( BG$17-BF$17)*$C$12,IF(BG$16&gt;=('Model_Assumptions'!$C$8 + 1), ( BG$17-BF$17)*$D$12, ""))))</f>
        <v/>
      </c>
      <c r="BH22" s="21">
        <f>IF(BH$16="","",IF(BH$16=('Model_Assumptions'!$B$8+1),( BH$17-BG$17)*$E$12,IF(BH$16&lt;='Model_Assumptions'!$C$8,( BH$17-BG$17)*$C$12,IF(BH$16&gt;=('Model_Assumptions'!$C$8 + 1), ( BH$17-BG$17)*$D$12, ""))))</f>
        <v/>
      </c>
      <c r="BI22" s="21">
        <f>IF(BI$16="","",IF(BI$16=('Model_Assumptions'!$B$8+1),( BI$17-BH$17)*$E$12,IF(BI$16&lt;='Model_Assumptions'!$C$8,( BI$17-BH$17)*$C$12,IF(BI$16&gt;=('Model_Assumptions'!$C$8 + 1), ( BI$17-BH$17)*$D$12, ""))))</f>
        <v/>
      </c>
      <c r="BJ22" s="21">
        <f>IF(BJ$16="","",IF(BJ$16=('Model_Assumptions'!$B$8+1),( BJ$17-BI$17)*$E$12,IF(BJ$16&lt;='Model_Assumptions'!$C$8,( BJ$17-BI$17)*$C$12,IF(BJ$16&gt;=('Model_Assumptions'!$C$8 + 1), ( BJ$17-BI$17)*$D$12, ""))))</f>
        <v/>
      </c>
      <c r="BK22" s="21">
        <f>IF(BK$16="","",IF(BK$16=('Model_Assumptions'!$B$8+1),( BK$17-BJ$17)*$E$12,IF(BK$16&lt;='Model_Assumptions'!$C$8,( BK$17-BJ$17)*$C$12,IF(BK$16&gt;=('Model_Assumptions'!$C$8 + 1), ( BK$17-BJ$17)*$D$12, ""))))</f>
        <v/>
      </c>
      <c r="BL22" s="21">
        <f>IF(BL$16="","",IF(BL$16=('Model_Assumptions'!$B$8+1),( BL$17-BK$17)*$E$12,IF(BL$16&lt;='Model_Assumptions'!$C$8,( BL$17-BK$17)*$C$12,IF(BL$16&gt;=('Model_Assumptions'!$C$8 + 1), ( BL$17-BK$17)*$D$12, ""))))</f>
        <v/>
      </c>
      <c r="BM22" s="21">
        <f>IF(BM$16="","",IF(BM$16=('Model_Assumptions'!$B$8+1),( BM$17-BL$17)*$E$12,IF(BM$16&lt;='Model_Assumptions'!$C$8,( BM$17-BL$17)*$C$12,IF(BM$16&gt;=('Model_Assumptions'!$C$8 + 1), ( BM$17-BL$17)*$D$12, ""))))</f>
        <v/>
      </c>
      <c r="BN22" s="21">
        <f>IF(BN$16="","",IF(BN$16=('Model_Assumptions'!$B$8+1),( BN$17-BM$17)*$E$12,IF(BN$16&lt;='Model_Assumptions'!$C$8,( BN$17-BM$17)*$C$12,IF(BN$16&gt;=('Model_Assumptions'!$C$8 + 1), ( BN$17-BM$17)*$D$12, ""))))</f>
        <v/>
      </c>
      <c r="BO22" s="21">
        <f>IF(BO$16="","",IF(BO$16=('Model_Assumptions'!$B$8+1),( BO$17-BN$17)*$E$12,IF(BO$16&lt;='Model_Assumptions'!$C$8,( BO$17-BN$17)*$C$12,IF(BO$16&gt;=('Model_Assumptions'!$C$8 + 1), ( BO$17-BN$17)*$D$12, ""))))</f>
        <v/>
      </c>
      <c r="BP22" s="21">
        <f>IF(BP$16="","",IF(BP$16=('Model_Assumptions'!$B$8+1),( BP$17-BO$17)*$E$12,IF(BP$16&lt;='Model_Assumptions'!$C$8,( BP$17-BO$17)*$C$12,IF(BP$16&gt;=('Model_Assumptions'!$C$8 + 1), ( BP$17-BO$17)*$D$12, ""))))</f>
        <v/>
      </c>
      <c r="BQ22" s="21">
        <f>IF(BQ$16="","",IF(BQ$16=('Model_Assumptions'!$B$8+1),( BQ$17-BP$17)*$E$12,IF(BQ$16&lt;='Model_Assumptions'!$C$8,( BQ$17-BP$17)*$C$12,IF(BQ$16&gt;=('Model_Assumptions'!$C$8 + 1), ( BQ$17-BP$17)*$D$12, ""))))</f>
        <v/>
      </c>
      <c r="BR22" s="21">
        <f>IF(BR$16="","",IF(BR$16=('Model_Assumptions'!$B$8+1),( BR$17-BQ$17)*$E$12,IF(BR$16&lt;='Model_Assumptions'!$C$8,( BR$17-BQ$17)*$C$12,IF(BR$16&gt;=('Model_Assumptions'!$C$8 + 1), ( BR$17-BQ$17)*$D$12, ""))))</f>
        <v/>
      </c>
      <c r="BS22" s="21">
        <f>IF(BS$16="","",IF(BS$16=('Model_Assumptions'!$B$8+1),( BS$17-BR$17)*$E$12,IF(BS$16&lt;='Model_Assumptions'!$C$8,( BS$17-BR$17)*$C$12,IF(BS$16&gt;=('Model_Assumptions'!$C$8 + 1), ( BS$17-BR$17)*$D$12, ""))))</f>
        <v/>
      </c>
      <c r="BT22" s="21">
        <f>IF(BT$16="","",IF(BT$16=('Model_Assumptions'!$B$8+1),( BT$17-BS$17)*$E$12,IF(BT$16&lt;='Model_Assumptions'!$C$8,( BT$17-BS$17)*$C$12,IF(BT$16&gt;=('Model_Assumptions'!$C$8 + 1), ( BT$17-BS$17)*$D$12, ""))))</f>
        <v/>
      </c>
      <c r="BU22" s="21">
        <f>IF(BU$16="","",IF(BU$16=('Model_Assumptions'!$B$8+1),( BU$17-BT$17)*$E$12,IF(BU$16&lt;='Model_Assumptions'!$C$8,( BU$17-BT$17)*$C$12,IF(BU$16&gt;=('Model_Assumptions'!$C$8 + 1), ( BU$17-BT$17)*$D$12, ""))))</f>
        <v/>
      </c>
      <c r="BV22" s="21">
        <f>IF(BV$16="","",IF(BV$16=('Model_Assumptions'!$B$8+1),( BV$17-BU$17)*$E$12,IF(BV$16&lt;='Model_Assumptions'!$C$8,( BV$17-BU$17)*$C$12,IF(BV$16&gt;=('Model_Assumptions'!$C$8 + 1), ( BV$17-BU$17)*$D$12, ""))))</f>
        <v/>
      </c>
      <c r="BW22" s="21">
        <f>IF(BW$16="","",IF(BW$16=('Model_Assumptions'!$B$8+1),( BW$17-BV$17)*$E$12,IF(BW$16&lt;='Model_Assumptions'!$C$8,( BW$17-BV$17)*$C$12,IF(BW$16&gt;=('Model_Assumptions'!$C$8 + 1), ( BW$17-BV$17)*$D$12, ""))))</f>
        <v/>
      </c>
      <c r="BX22" s="21">
        <f>IF(BX$16="","",IF(BX$16=('Model_Assumptions'!$B$8+1),( BX$17-BW$17)*$E$12,IF(BX$16&lt;='Model_Assumptions'!$C$8,( BX$17-BW$17)*$C$12,IF(BX$16&gt;=('Model_Assumptions'!$C$8 + 1), ( BX$17-BW$17)*$D$12, ""))))</f>
        <v/>
      </c>
      <c r="BY22" s="21">
        <f>IF(BY$16="","",IF(BY$16=('Model_Assumptions'!$B$8+1),( BY$17-BX$17)*$E$12,IF(BY$16&lt;='Model_Assumptions'!$C$8,( BY$17-BX$17)*$C$12,IF(BY$16&gt;=('Model_Assumptions'!$C$8 + 1), ( BY$17-BX$17)*$D$12, ""))))</f>
        <v/>
      </c>
      <c r="BZ22" s="21">
        <f>IF(BZ$16="","",IF(BZ$16=('Model_Assumptions'!$B$8+1),( BZ$17-BY$17)*$E$12,IF(BZ$16&lt;='Model_Assumptions'!$C$8,( BZ$17-BY$17)*$C$12,IF(BZ$16&gt;=('Model_Assumptions'!$C$8 + 1), ( BZ$17-BY$17)*$D$12, ""))))</f>
        <v/>
      </c>
      <c r="CA22" s="21">
        <f>IF(CA$16="","",IF(CA$16=('Model_Assumptions'!$B$8+1),( CA$17-BZ$17)*$E$12,IF(CA$16&lt;='Model_Assumptions'!$C$8,( CA$17-BZ$17)*$C$12,IF(CA$16&gt;=('Model_Assumptions'!$C$8 + 1), ( CA$17-BZ$17)*$D$12, ""))))</f>
        <v/>
      </c>
      <c r="CB22" s="21">
        <f>IF(CB$16="","",IF(CB$16=('Model_Assumptions'!$B$8+1),( CB$17-CA$17)*$E$12,IF(CB$16&lt;='Model_Assumptions'!$C$8,( CB$17-CA$17)*$C$12,IF(CB$16&gt;=('Model_Assumptions'!$C$8 + 1), ( CB$17-CA$17)*$D$12, ""))))</f>
        <v/>
      </c>
      <c r="CC22" s="21">
        <f>IF(CC$16="","",IF(CC$16=('Model_Assumptions'!$B$8+1),( CC$17-CB$17)*$E$12,IF(CC$16&lt;='Model_Assumptions'!$C$8,( CC$17-CB$17)*$C$12,IF(CC$16&gt;=('Model_Assumptions'!$C$8 + 1), ( CC$17-CB$17)*$D$12, ""))))</f>
        <v/>
      </c>
      <c r="CD22" s="21">
        <f>IF(CD$16="","",IF(CD$16=('Model_Assumptions'!$B$8+1),( CD$17-CC$17)*$E$12,IF(CD$16&lt;='Model_Assumptions'!$C$8,( CD$17-CC$17)*$C$12,IF(CD$16&gt;=('Model_Assumptions'!$C$8 + 1), ( CD$17-CC$17)*$D$12, ""))))</f>
        <v/>
      </c>
      <c r="CE22" s="21">
        <f>IF(CE$16="","",IF(CE$16=('Model_Assumptions'!$B$8+1),( CE$17-CD$17)*$E$12,IF(CE$16&lt;='Model_Assumptions'!$C$8,( CE$17-CD$17)*$C$12,IF(CE$16&gt;=('Model_Assumptions'!$C$8 + 1), ( CE$17-CD$17)*$D$12, ""))))</f>
        <v/>
      </c>
      <c r="CF22" s="21">
        <f>IF(CF$16="","",IF(CF$16=('Model_Assumptions'!$B$8+1),( CF$17-CE$17)*$E$12,IF(CF$16&lt;='Model_Assumptions'!$C$8,( CF$17-CE$17)*$C$12,IF(CF$16&gt;=('Model_Assumptions'!$C$8 + 1), ( CF$17-CE$17)*$D$12, ""))))</f>
        <v/>
      </c>
      <c r="CG22" s="21">
        <f>IF(CG$16="","",IF(CG$16=('Model_Assumptions'!$B$8+1),( CG$17-CF$17)*$E$12,IF(CG$16&lt;='Model_Assumptions'!$C$8,( CG$17-CF$17)*$C$12,IF(CG$16&gt;=('Model_Assumptions'!$C$8 + 1), ( CG$17-CF$17)*$D$12, ""))))</f>
        <v/>
      </c>
      <c r="CH22" s="21">
        <f>IF(CH$16="","",IF(CH$16=('Model_Assumptions'!$B$8+1),( CH$17-CG$17)*$E$12,IF(CH$16&lt;='Model_Assumptions'!$C$8,( CH$17-CG$17)*$C$12,IF(CH$16&gt;=('Model_Assumptions'!$C$8 + 1), ( CH$17-CG$17)*$D$12, ""))))</f>
        <v/>
      </c>
      <c r="CI22" s="21">
        <f>IF(CI$16="","",IF(CI$16=('Model_Assumptions'!$B$8+1),( CI$17-CH$17)*$E$12,IF(CI$16&lt;='Model_Assumptions'!$C$8,( CI$17-CH$17)*$C$12,IF(CI$16&gt;=('Model_Assumptions'!$C$8 + 1), ( CI$17-CH$17)*$D$12, ""))))</f>
        <v/>
      </c>
      <c r="CJ22" s="21">
        <f>IF(CJ$16="","",IF(CJ$16=('Model_Assumptions'!$B$8+1),( CJ$17-CI$17)*$E$12,IF(CJ$16&lt;='Model_Assumptions'!$C$8,( CJ$17-CI$17)*$C$12,IF(CJ$16&gt;=('Model_Assumptions'!$C$8 + 1), ( CJ$17-CI$17)*$D$12, ""))))</f>
        <v/>
      </c>
      <c r="CK22" s="21">
        <f>IF(CK$16="","",IF(CK$16=('Model_Assumptions'!$B$8+1),( CK$17-CJ$17)*$E$12,IF(CK$16&lt;='Model_Assumptions'!$C$8,( CK$17-CJ$17)*$C$12,IF(CK$16&gt;=('Model_Assumptions'!$C$8 + 1), ( CK$17-CJ$17)*$D$12, ""))))</f>
        <v/>
      </c>
      <c r="CL22" s="21">
        <f>IF(CL$16="","",IF(CL$16=('Model_Assumptions'!$B$8+1),( CL$17-CK$17)*$E$12,IF(CL$16&lt;='Model_Assumptions'!$C$8,( CL$17-CK$17)*$C$12,IF(CL$16&gt;=('Model_Assumptions'!$C$8 + 1), ( CL$17-CK$17)*$D$12, ""))))</f>
        <v/>
      </c>
      <c r="CM22" s="22">
        <f>IF(CM$16="","",IF(CM$16=('Model_Assumptions'!$B$8+1),( CM$17-CL$17)*$E$12,IF(CM$16&lt;='Model_Assumptions'!$C$8,( CM$17-CL$17)*$C$12,IF(CM$16&gt;=('Model_Assumptions'!$C$8 + 1), ( CM$17-CL$17)*$D$12, ""))))</f>
        <v/>
      </c>
    </row>
    <row r="23">
      <c r="B23" s="23" t="inlineStr">
        <is>
          <t>Capital Expenditures</t>
        </is>
      </c>
      <c r="C23" s="24" t="inlineStr"/>
      <c r="D23" s="25">
        <f>IF(D$16="","",IF(D$16=('Model_Assumptions'!$B$8+1), D$17*$E$13,IF(D$16&lt;='Model_Assumptions'!$C$8,D$17*$C$13,IF(D$16&gt;=('Model_Assumptions'!$C$8 + 1), D$17*$D$13, ""))))</f>
        <v/>
      </c>
      <c r="E23" s="25">
        <f>IF(E$16="","",IF(E$16=('Model_Assumptions'!$B$8+1), E$17*$E$13,IF(E$16&lt;='Model_Assumptions'!$C$8,E$17*$C$13,IF(E$16&gt;=('Model_Assumptions'!$C$8 + 1), E$17*$D$13, ""))))</f>
        <v/>
      </c>
      <c r="F23" s="25">
        <f>IF(F$16="","",IF(F$16=('Model_Assumptions'!$B$8+1), F$17*$E$13,IF(F$16&lt;='Model_Assumptions'!$C$8,F$17*$C$13,IF(F$16&gt;=('Model_Assumptions'!$C$8 + 1), F$17*$D$13, ""))))</f>
        <v/>
      </c>
      <c r="G23" s="25">
        <f>IF(G$16="","",IF(G$16=('Model_Assumptions'!$B$8+1), G$17*$E$13,IF(G$16&lt;='Model_Assumptions'!$C$8,G$17*$C$13,IF(G$16&gt;=('Model_Assumptions'!$C$8 + 1), G$17*$D$13, ""))))</f>
        <v/>
      </c>
      <c r="H23" s="25">
        <f>IF(H$16="","",IF(H$16=('Model_Assumptions'!$B$8+1), H$17*$E$13,IF(H$16&lt;='Model_Assumptions'!$C$8,H$17*$C$13,IF(H$16&gt;=('Model_Assumptions'!$C$8 + 1), H$17*$D$13, ""))))</f>
        <v/>
      </c>
      <c r="I23" s="25">
        <f>IF(I$16="","",IF(I$16=('Model_Assumptions'!$B$8+1), I$17*$E$13,IF(I$16&lt;='Model_Assumptions'!$C$8,I$17*$C$13,IF(I$16&gt;=('Model_Assumptions'!$C$8 + 1), I$17*$D$13, ""))))</f>
        <v/>
      </c>
      <c r="J23" s="25">
        <f>IF(J$16="","",IF(J$16=('Model_Assumptions'!$B$8+1), J$17*$E$13,IF(J$16&lt;='Model_Assumptions'!$C$8,J$17*$C$13,IF(J$16&gt;=('Model_Assumptions'!$C$8 + 1), J$17*$D$13, ""))))</f>
        <v/>
      </c>
      <c r="K23" s="25">
        <f>IF(K$16="","",IF(K$16=('Model_Assumptions'!$B$8+1), K$17*$E$13,IF(K$16&lt;='Model_Assumptions'!$C$8,K$17*$C$13,IF(K$16&gt;=('Model_Assumptions'!$C$8 + 1), K$17*$D$13, ""))))</f>
        <v/>
      </c>
      <c r="L23" s="25">
        <f>IF(L$16="","",IF(L$16=('Model_Assumptions'!$B$8+1), L$17*$E$13,IF(L$16&lt;='Model_Assumptions'!$C$8,L$17*$C$13,IF(L$16&gt;=('Model_Assumptions'!$C$8 + 1), L$17*$D$13, ""))))</f>
        <v/>
      </c>
      <c r="M23" s="25">
        <f>IF(M$16="","",IF(M$16=('Model_Assumptions'!$B$8+1), M$17*$E$13,IF(M$16&lt;='Model_Assumptions'!$C$8,M$17*$C$13,IF(M$16&gt;=('Model_Assumptions'!$C$8 + 1), M$17*$D$13, ""))))</f>
        <v/>
      </c>
      <c r="N23" s="25">
        <f>IF(N$16="","",IF(N$16=('Model_Assumptions'!$B$8+1), N$17*$E$13,IF(N$16&lt;='Model_Assumptions'!$C$8,N$17*$C$13,IF(N$16&gt;=('Model_Assumptions'!$C$8 + 1), N$17*$D$13, ""))))</f>
        <v/>
      </c>
      <c r="O23" s="25">
        <f>IF(O$16="","",IF(O$16=('Model_Assumptions'!$B$8+1), O$17*$E$13,IF(O$16&lt;='Model_Assumptions'!$C$8,O$17*$C$13,IF(O$16&gt;=('Model_Assumptions'!$C$8 + 1), O$17*$D$13, ""))))</f>
        <v/>
      </c>
      <c r="P23" s="25">
        <f>IF(P$16="","",IF(P$16=('Model_Assumptions'!$B$8+1), P$17*$E$13,IF(P$16&lt;='Model_Assumptions'!$C$8,P$17*$C$13,IF(P$16&gt;=('Model_Assumptions'!$C$8 + 1), P$17*$D$13, ""))))</f>
        <v/>
      </c>
      <c r="Q23" s="25">
        <f>IF(Q$16="","",IF(Q$16=('Model_Assumptions'!$B$8+1), Q$17*$E$13,IF(Q$16&lt;='Model_Assumptions'!$C$8,Q$17*$C$13,IF(Q$16&gt;=('Model_Assumptions'!$C$8 + 1), Q$17*$D$13, ""))))</f>
        <v/>
      </c>
      <c r="R23" s="25">
        <f>IF(R$16="","",IF(R$16=('Model_Assumptions'!$B$8+1), R$17*$E$13,IF(R$16&lt;='Model_Assumptions'!$C$8,R$17*$C$13,IF(R$16&gt;=('Model_Assumptions'!$C$8 + 1), R$17*$D$13, ""))))</f>
        <v/>
      </c>
      <c r="S23" s="25">
        <f>IF(S$16="","",IF(S$16=('Model_Assumptions'!$B$8+1), S$17*$E$13,IF(S$16&lt;='Model_Assumptions'!$C$8,S$17*$C$13,IF(S$16&gt;=('Model_Assumptions'!$C$8 + 1), S$17*$D$13, ""))))</f>
        <v/>
      </c>
      <c r="T23" s="25">
        <f>IF(T$16="","",IF(T$16=('Model_Assumptions'!$B$8+1), T$17*$E$13,IF(T$16&lt;='Model_Assumptions'!$C$8,T$17*$C$13,IF(T$16&gt;=('Model_Assumptions'!$C$8 + 1), T$17*$D$13, ""))))</f>
        <v/>
      </c>
      <c r="U23" s="25">
        <f>IF(U$16="","",IF(U$16=('Model_Assumptions'!$B$8+1), U$17*$E$13,IF(U$16&lt;='Model_Assumptions'!$C$8,U$17*$C$13,IF(U$16&gt;=('Model_Assumptions'!$C$8 + 1), U$17*$D$13, ""))))</f>
        <v/>
      </c>
      <c r="V23" s="25">
        <f>IF(V$16="","",IF(V$16=('Model_Assumptions'!$B$8+1), V$17*$E$13,IF(V$16&lt;='Model_Assumptions'!$C$8,V$17*$C$13,IF(V$16&gt;=('Model_Assumptions'!$C$8 + 1), V$17*$D$13, ""))))</f>
        <v/>
      </c>
      <c r="W23" s="25">
        <f>IF(W$16="","",IF(W$16=('Model_Assumptions'!$B$8+1), W$17*$E$13,IF(W$16&lt;='Model_Assumptions'!$C$8,W$17*$C$13,IF(W$16&gt;=('Model_Assumptions'!$C$8 + 1), W$17*$D$13, ""))))</f>
        <v/>
      </c>
      <c r="X23" s="25">
        <f>IF(X$16="","",IF(X$16=('Model_Assumptions'!$B$8+1), X$17*$E$13,IF(X$16&lt;='Model_Assumptions'!$C$8,X$17*$C$13,IF(X$16&gt;=('Model_Assumptions'!$C$8 + 1), X$17*$D$13, ""))))</f>
        <v/>
      </c>
      <c r="Y23" s="25">
        <f>IF(Y$16="","",IF(Y$16=('Model_Assumptions'!$B$8+1), Y$17*$E$13,IF(Y$16&lt;='Model_Assumptions'!$C$8,Y$17*$C$13,IF(Y$16&gt;=('Model_Assumptions'!$C$8 + 1), Y$17*$D$13, ""))))</f>
        <v/>
      </c>
      <c r="Z23" s="25">
        <f>IF(Z$16="","",IF(Z$16=('Model_Assumptions'!$B$8+1), Z$17*$E$13,IF(Z$16&lt;='Model_Assumptions'!$C$8,Z$17*$C$13,IF(Z$16&gt;=('Model_Assumptions'!$C$8 + 1), Z$17*$D$13, ""))))</f>
        <v/>
      </c>
      <c r="AA23" s="25">
        <f>IF(AA$16="","",IF(AA$16=('Model_Assumptions'!$B$8+1), AA$17*$E$13,IF(AA$16&lt;='Model_Assumptions'!$C$8,AA$17*$C$13,IF(AA$16&gt;=('Model_Assumptions'!$C$8 + 1), AA$17*$D$13, ""))))</f>
        <v/>
      </c>
      <c r="AB23" s="25">
        <f>IF(AB$16="","",IF(AB$16=('Model_Assumptions'!$B$8+1), AB$17*$E$13,IF(AB$16&lt;='Model_Assumptions'!$C$8,AB$17*$C$13,IF(AB$16&gt;=('Model_Assumptions'!$C$8 + 1), AB$17*$D$13, ""))))</f>
        <v/>
      </c>
      <c r="AC23" s="25">
        <f>IF(AC$16="","",IF(AC$16=('Model_Assumptions'!$B$8+1), AC$17*$E$13,IF(AC$16&lt;='Model_Assumptions'!$C$8,AC$17*$C$13,IF(AC$16&gt;=('Model_Assumptions'!$C$8 + 1), AC$17*$D$13, ""))))</f>
        <v/>
      </c>
      <c r="AD23" s="25">
        <f>IF(AD$16="","",IF(AD$16=('Model_Assumptions'!$B$8+1), AD$17*$E$13,IF(AD$16&lt;='Model_Assumptions'!$C$8,AD$17*$C$13,IF(AD$16&gt;=('Model_Assumptions'!$C$8 + 1), AD$17*$D$13, ""))))</f>
        <v/>
      </c>
      <c r="AE23" s="25">
        <f>IF(AE$16="","",IF(AE$16=('Model_Assumptions'!$B$8+1), AE$17*$E$13,IF(AE$16&lt;='Model_Assumptions'!$C$8,AE$17*$C$13,IF(AE$16&gt;=('Model_Assumptions'!$C$8 + 1), AE$17*$D$13, ""))))</f>
        <v/>
      </c>
      <c r="AF23" s="25">
        <f>IF(AF$16="","",IF(AF$16=('Model_Assumptions'!$B$8+1), AF$17*$E$13,IF(AF$16&lt;='Model_Assumptions'!$C$8,AF$17*$C$13,IF(AF$16&gt;=('Model_Assumptions'!$C$8 + 1), AF$17*$D$13, ""))))</f>
        <v/>
      </c>
      <c r="AG23" s="25">
        <f>IF(AG$16="","",IF(AG$16=('Model_Assumptions'!$B$8+1), AG$17*$E$13,IF(AG$16&lt;='Model_Assumptions'!$C$8,AG$17*$C$13,IF(AG$16&gt;=('Model_Assumptions'!$C$8 + 1), AG$17*$D$13, ""))))</f>
        <v/>
      </c>
      <c r="AH23" s="25">
        <f>IF(AH$16="","",IF(AH$16=('Model_Assumptions'!$B$8+1), AH$17*$E$13,IF(AH$16&lt;='Model_Assumptions'!$C$8,AH$17*$C$13,IF(AH$16&gt;=('Model_Assumptions'!$C$8 + 1), AH$17*$D$13, ""))))</f>
        <v/>
      </c>
      <c r="AI23" s="25">
        <f>IF(AI$16="","",IF(AI$16=('Model_Assumptions'!$B$8+1), AI$17*$E$13,IF(AI$16&lt;='Model_Assumptions'!$C$8,AI$17*$C$13,IF(AI$16&gt;=('Model_Assumptions'!$C$8 + 1), AI$17*$D$13, ""))))</f>
        <v/>
      </c>
      <c r="AJ23" s="25">
        <f>IF(AJ$16="","",IF(AJ$16=('Model_Assumptions'!$B$8+1), AJ$17*$E$13,IF(AJ$16&lt;='Model_Assumptions'!$C$8,AJ$17*$C$13,IF(AJ$16&gt;=('Model_Assumptions'!$C$8 + 1), AJ$17*$D$13, ""))))</f>
        <v/>
      </c>
      <c r="AK23" s="25">
        <f>IF(AK$16="","",IF(AK$16=('Model_Assumptions'!$B$8+1), AK$17*$E$13,IF(AK$16&lt;='Model_Assumptions'!$C$8,AK$17*$C$13,IF(AK$16&gt;=('Model_Assumptions'!$C$8 + 1), AK$17*$D$13, ""))))</f>
        <v/>
      </c>
      <c r="AL23" s="25">
        <f>IF(AL$16="","",IF(AL$16=('Model_Assumptions'!$B$8+1), AL$17*$E$13,IF(AL$16&lt;='Model_Assumptions'!$C$8,AL$17*$C$13,IF(AL$16&gt;=('Model_Assumptions'!$C$8 + 1), AL$17*$D$13, ""))))</f>
        <v/>
      </c>
      <c r="AM23" s="25">
        <f>IF(AM$16="","",IF(AM$16=('Model_Assumptions'!$B$8+1), AM$17*$E$13,IF(AM$16&lt;='Model_Assumptions'!$C$8,AM$17*$C$13,IF(AM$16&gt;=('Model_Assumptions'!$C$8 + 1), AM$17*$D$13, ""))))</f>
        <v/>
      </c>
      <c r="AN23" s="25">
        <f>IF(AN$16="","",IF(AN$16=('Model_Assumptions'!$B$8+1), AN$17*$E$13,IF(AN$16&lt;='Model_Assumptions'!$C$8,AN$17*$C$13,IF(AN$16&gt;=('Model_Assumptions'!$C$8 + 1), AN$17*$D$13, ""))))</f>
        <v/>
      </c>
      <c r="AO23" s="25">
        <f>IF(AO$16="","",IF(AO$16=('Model_Assumptions'!$B$8+1), AO$17*$E$13,IF(AO$16&lt;='Model_Assumptions'!$C$8,AO$17*$C$13,IF(AO$16&gt;=('Model_Assumptions'!$C$8 + 1), AO$17*$D$13, ""))))</f>
        <v/>
      </c>
      <c r="AP23" s="25">
        <f>IF(AP$16="","",IF(AP$16=('Model_Assumptions'!$B$8+1), AP$17*$E$13,IF(AP$16&lt;='Model_Assumptions'!$C$8,AP$17*$C$13,IF(AP$16&gt;=('Model_Assumptions'!$C$8 + 1), AP$17*$D$13, ""))))</f>
        <v/>
      </c>
      <c r="AQ23" s="25">
        <f>IF(AQ$16="","",IF(AQ$16=('Model_Assumptions'!$B$8+1), AQ$17*$E$13,IF(AQ$16&lt;='Model_Assumptions'!$C$8,AQ$17*$C$13,IF(AQ$16&gt;=('Model_Assumptions'!$C$8 + 1), AQ$17*$D$13, ""))))</f>
        <v/>
      </c>
      <c r="AR23" s="25">
        <f>IF(AR$16="","",IF(AR$16=('Model_Assumptions'!$B$8+1), AR$17*$E$13,IF(AR$16&lt;='Model_Assumptions'!$C$8,AR$17*$C$13,IF(AR$16&gt;=('Model_Assumptions'!$C$8 + 1), AR$17*$D$13, ""))))</f>
        <v/>
      </c>
      <c r="AS23" s="25">
        <f>IF(AS$16="","",IF(AS$16=('Model_Assumptions'!$B$8+1), AS$17*$E$13,IF(AS$16&lt;='Model_Assumptions'!$C$8,AS$17*$C$13,IF(AS$16&gt;=('Model_Assumptions'!$C$8 + 1), AS$17*$D$13, ""))))</f>
        <v/>
      </c>
      <c r="AT23" s="25">
        <f>IF(AT$16="","",IF(AT$16=('Model_Assumptions'!$B$8+1), AT$17*$E$13,IF(AT$16&lt;='Model_Assumptions'!$C$8,AT$17*$C$13,IF(AT$16&gt;=('Model_Assumptions'!$C$8 + 1), AT$17*$D$13, ""))))</f>
        <v/>
      </c>
      <c r="AU23" s="25">
        <f>IF(AU$16="","",IF(AU$16=('Model_Assumptions'!$B$8+1), AU$17*$E$13,IF(AU$16&lt;='Model_Assumptions'!$C$8,AU$17*$C$13,IF(AU$16&gt;=('Model_Assumptions'!$C$8 + 1), AU$17*$D$13, ""))))</f>
        <v/>
      </c>
      <c r="AV23" s="25">
        <f>IF(AV$16="","",IF(AV$16=('Model_Assumptions'!$B$8+1), AV$17*$E$13,IF(AV$16&lt;='Model_Assumptions'!$C$8,AV$17*$C$13,IF(AV$16&gt;=('Model_Assumptions'!$C$8 + 1), AV$17*$D$13, ""))))</f>
        <v/>
      </c>
      <c r="AW23" s="25">
        <f>IF(AW$16="","",IF(AW$16=('Model_Assumptions'!$B$8+1), AW$17*$E$13,IF(AW$16&lt;='Model_Assumptions'!$C$8,AW$17*$C$13,IF(AW$16&gt;=('Model_Assumptions'!$C$8 + 1), AW$17*$D$13, ""))))</f>
        <v/>
      </c>
      <c r="AX23" s="25">
        <f>IF(AX$16="","",IF(AX$16=('Model_Assumptions'!$B$8+1), AX$17*$E$13,IF(AX$16&lt;='Model_Assumptions'!$C$8,AX$17*$C$13,IF(AX$16&gt;=('Model_Assumptions'!$C$8 + 1), AX$17*$D$13, ""))))</f>
        <v/>
      </c>
      <c r="AY23" s="25">
        <f>IF(AY$16="","",IF(AY$16=('Model_Assumptions'!$B$8+1), AY$17*$E$13,IF(AY$16&lt;='Model_Assumptions'!$C$8,AY$17*$C$13,IF(AY$16&gt;=('Model_Assumptions'!$C$8 + 1), AY$17*$D$13, ""))))</f>
        <v/>
      </c>
      <c r="AZ23" s="25">
        <f>IF(AZ$16="","",IF(AZ$16=('Model_Assumptions'!$B$8+1), AZ$17*$E$13,IF(AZ$16&lt;='Model_Assumptions'!$C$8,AZ$17*$C$13,IF(AZ$16&gt;=('Model_Assumptions'!$C$8 + 1), AZ$17*$D$13, ""))))</f>
        <v/>
      </c>
      <c r="BA23" s="25">
        <f>IF(BA$16="","",IF(BA$16=('Model_Assumptions'!$B$8+1), BA$17*$E$13,IF(BA$16&lt;='Model_Assumptions'!$C$8,BA$17*$C$13,IF(BA$16&gt;=('Model_Assumptions'!$C$8 + 1), BA$17*$D$13, ""))))</f>
        <v/>
      </c>
      <c r="BB23" s="25">
        <f>IF(BB$16="","",IF(BB$16=('Model_Assumptions'!$B$8+1), BB$17*$E$13,IF(BB$16&lt;='Model_Assumptions'!$C$8,BB$17*$C$13,IF(BB$16&gt;=('Model_Assumptions'!$C$8 + 1), BB$17*$D$13, ""))))</f>
        <v/>
      </c>
      <c r="BC23" s="25">
        <f>IF(BC$16="","",IF(BC$16=('Model_Assumptions'!$B$8+1), BC$17*$E$13,IF(BC$16&lt;='Model_Assumptions'!$C$8,BC$17*$C$13,IF(BC$16&gt;=('Model_Assumptions'!$C$8 + 1), BC$17*$D$13, ""))))</f>
        <v/>
      </c>
      <c r="BD23" s="25">
        <f>IF(BD$16="","",IF(BD$16=('Model_Assumptions'!$B$8+1), BD$17*$E$13,IF(BD$16&lt;='Model_Assumptions'!$C$8,BD$17*$C$13,IF(BD$16&gt;=('Model_Assumptions'!$C$8 + 1), BD$17*$D$13, ""))))</f>
        <v/>
      </c>
      <c r="BE23" s="25">
        <f>IF(BE$16="","",IF(BE$16=('Model_Assumptions'!$B$8+1), BE$17*$E$13,IF(BE$16&lt;='Model_Assumptions'!$C$8,BE$17*$C$13,IF(BE$16&gt;=('Model_Assumptions'!$C$8 + 1), BE$17*$D$13, ""))))</f>
        <v/>
      </c>
      <c r="BF23" s="25">
        <f>IF(BF$16="","",IF(BF$16=('Model_Assumptions'!$B$8+1), BF$17*$E$13,IF(BF$16&lt;='Model_Assumptions'!$C$8,BF$17*$C$13,IF(BF$16&gt;=('Model_Assumptions'!$C$8 + 1), BF$17*$D$13, ""))))</f>
        <v/>
      </c>
      <c r="BG23" s="25">
        <f>IF(BG$16="","",IF(BG$16=('Model_Assumptions'!$B$8+1), BG$17*$E$13,IF(BG$16&lt;='Model_Assumptions'!$C$8,BG$17*$C$13,IF(BG$16&gt;=('Model_Assumptions'!$C$8 + 1), BG$17*$D$13, ""))))</f>
        <v/>
      </c>
      <c r="BH23" s="25">
        <f>IF(BH$16="","",IF(BH$16=('Model_Assumptions'!$B$8+1), BH$17*$E$13,IF(BH$16&lt;='Model_Assumptions'!$C$8,BH$17*$C$13,IF(BH$16&gt;=('Model_Assumptions'!$C$8 + 1), BH$17*$D$13, ""))))</f>
        <v/>
      </c>
      <c r="BI23" s="25">
        <f>IF(BI$16="","",IF(BI$16=('Model_Assumptions'!$B$8+1), BI$17*$E$13,IF(BI$16&lt;='Model_Assumptions'!$C$8,BI$17*$C$13,IF(BI$16&gt;=('Model_Assumptions'!$C$8 + 1), BI$17*$D$13, ""))))</f>
        <v/>
      </c>
      <c r="BJ23" s="25">
        <f>IF(BJ$16="","",IF(BJ$16=('Model_Assumptions'!$B$8+1), BJ$17*$E$13,IF(BJ$16&lt;='Model_Assumptions'!$C$8,BJ$17*$C$13,IF(BJ$16&gt;=('Model_Assumptions'!$C$8 + 1), BJ$17*$D$13, ""))))</f>
        <v/>
      </c>
      <c r="BK23" s="25">
        <f>IF(BK$16="","",IF(BK$16=('Model_Assumptions'!$B$8+1), BK$17*$E$13,IF(BK$16&lt;='Model_Assumptions'!$C$8,BK$17*$C$13,IF(BK$16&gt;=('Model_Assumptions'!$C$8 + 1), BK$17*$D$13, ""))))</f>
        <v/>
      </c>
      <c r="BL23" s="25">
        <f>IF(BL$16="","",IF(BL$16=('Model_Assumptions'!$B$8+1), BL$17*$E$13,IF(BL$16&lt;='Model_Assumptions'!$C$8,BL$17*$C$13,IF(BL$16&gt;=('Model_Assumptions'!$C$8 + 1), BL$17*$D$13, ""))))</f>
        <v/>
      </c>
      <c r="BM23" s="25">
        <f>IF(BM$16="","",IF(BM$16=('Model_Assumptions'!$B$8+1), BM$17*$E$13,IF(BM$16&lt;='Model_Assumptions'!$C$8,BM$17*$C$13,IF(BM$16&gt;=('Model_Assumptions'!$C$8 + 1), BM$17*$D$13, ""))))</f>
        <v/>
      </c>
      <c r="BN23" s="25">
        <f>IF(BN$16="","",IF(BN$16=('Model_Assumptions'!$B$8+1), BN$17*$E$13,IF(BN$16&lt;='Model_Assumptions'!$C$8,BN$17*$C$13,IF(BN$16&gt;=('Model_Assumptions'!$C$8 + 1), BN$17*$D$13, ""))))</f>
        <v/>
      </c>
      <c r="BO23" s="25">
        <f>IF(BO$16="","",IF(BO$16=('Model_Assumptions'!$B$8+1), BO$17*$E$13,IF(BO$16&lt;='Model_Assumptions'!$C$8,BO$17*$C$13,IF(BO$16&gt;=('Model_Assumptions'!$C$8 + 1), BO$17*$D$13, ""))))</f>
        <v/>
      </c>
      <c r="BP23" s="25">
        <f>IF(BP$16="","",IF(BP$16=('Model_Assumptions'!$B$8+1), BP$17*$E$13,IF(BP$16&lt;='Model_Assumptions'!$C$8,BP$17*$C$13,IF(BP$16&gt;=('Model_Assumptions'!$C$8 + 1), BP$17*$D$13, ""))))</f>
        <v/>
      </c>
      <c r="BQ23" s="25">
        <f>IF(BQ$16="","",IF(BQ$16=('Model_Assumptions'!$B$8+1), BQ$17*$E$13,IF(BQ$16&lt;='Model_Assumptions'!$C$8,BQ$17*$C$13,IF(BQ$16&gt;=('Model_Assumptions'!$C$8 + 1), BQ$17*$D$13, ""))))</f>
        <v/>
      </c>
      <c r="BR23" s="25">
        <f>IF(BR$16="","",IF(BR$16=('Model_Assumptions'!$B$8+1), BR$17*$E$13,IF(BR$16&lt;='Model_Assumptions'!$C$8,BR$17*$C$13,IF(BR$16&gt;=('Model_Assumptions'!$C$8 + 1), BR$17*$D$13, ""))))</f>
        <v/>
      </c>
      <c r="BS23" s="25">
        <f>IF(BS$16="","",IF(BS$16=('Model_Assumptions'!$B$8+1), BS$17*$E$13,IF(BS$16&lt;='Model_Assumptions'!$C$8,BS$17*$C$13,IF(BS$16&gt;=('Model_Assumptions'!$C$8 + 1), BS$17*$D$13, ""))))</f>
        <v/>
      </c>
      <c r="BT23" s="25">
        <f>IF(BT$16="","",IF(BT$16=('Model_Assumptions'!$B$8+1), BT$17*$E$13,IF(BT$16&lt;='Model_Assumptions'!$C$8,BT$17*$C$13,IF(BT$16&gt;=('Model_Assumptions'!$C$8 + 1), BT$17*$D$13, ""))))</f>
        <v/>
      </c>
      <c r="BU23" s="25">
        <f>IF(BU$16="","",IF(BU$16=('Model_Assumptions'!$B$8+1), BU$17*$E$13,IF(BU$16&lt;='Model_Assumptions'!$C$8,BU$17*$C$13,IF(BU$16&gt;=('Model_Assumptions'!$C$8 + 1), BU$17*$D$13, ""))))</f>
        <v/>
      </c>
      <c r="BV23" s="25">
        <f>IF(BV$16="","",IF(BV$16=('Model_Assumptions'!$B$8+1), BV$17*$E$13,IF(BV$16&lt;='Model_Assumptions'!$C$8,BV$17*$C$13,IF(BV$16&gt;=('Model_Assumptions'!$C$8 + 1), BV$17*$D$13, ""))))</f>
        <v/>
      </c>
      <c r="BW23" s="25">
        <f>IF(BW$16="","",IF(BW$16=('Model_Assumptions'!$B$8+1), BW$17*$E$13,IF(BW$16&lt;='Model_Assumptions'!$C$8,BW$17*$C$13,IF(BW$16&gt;=('Model_Assumptions'!$C$8 + 1), BW$17*$D$13, ""))))</f>
        <v/>
      </c>
      <c r="BX23" s="25">
        <f>IF(BX$16="","",IF(BX$16=('Model_Assumptions'!$B$8+1), BX$17*$E$13,IF(BX$16&lt;='Model_Assumptions'!$C$8,BX$17*$C$13,IF(BX$16&gt;=('Model_Assumptions'!$C$8 + 1), BX$17*$D$13, ""))))</f>
        <v/>
      </c>
      <c r="BY23" s="25">
        <f>IF(BY$16="","",IF(BY$16=('Model_Assumptions'!$B$8+1), BY$17*$E$13,IF(BY$16&lt;='Model_Assumptions'!$C$8,BY$17*$C$13,IF(BY$16&gt;=('Model_Assumptions'!$C$8 + 1), BY$17*$D$13, ""))))</f>
        <v/>
      </c>
      <c r="BZ23" s="25">
        <f>IF(BZ$16="","",IF(BZ$16=('Model_Assumptions'!$B$8+1), BZ$17*$E$13,IF(BZ$16&lt;='Model_Assumptions'!$C$8,BZ$17*$C$13,IF(BZ$16&gt;=('Model_Assumptions'!$C$8 + 1), BZ$17*$D$13, ""))))</f>
        <v/>
      </c>
      <c r="CA23" s="25">
        <f>IF(CA$16="","",IF(CA$16=('Model_Assumptions'!$B$8+1), CA$17*$E$13,IF(CA$16&lt;='Model_Assumptions'!$C$8,CA$17*$C$13,IF(CA$16&gt;=('Model_Assumptions'!$C$8 + 1), CA$17*$D$13, ""))))</f>
        <v/>
      </c>
      <c r="CB23" s="25">
        <f>IF(CB$16="","",IF(CB$16=('Model_Assumptions'!$B$8+1), CB$17*$E$13,IF(CB$16&lt;='Model_Assumptions'!$C$8,CB$17*$C$13,IF(CB$16&gt;=('Model_Assumptions'!$C$8 + 1), CB$17*$D$13, ""))))</f>
        <v/>
      </c>
      <c r="CC23" s="25">
        <f>IF(CC$16="","",IF(CC$16=('Model_Assumptions'!$B$8+1), CC$17*$E$13,IF(CC$16&lt;='Model_Assumptions'!$C$8,CC$17*$C$13,IF(CC$16&gt;=('Model_Assumptions'!$C$8 + 1), CC$17*$D$13, ""))))</f>
        <v/>
      </c>
      <c r="CD23" s="25">
        <f>IF(CD$16="","",IF(CD$16=('Model_Assumptions'!$B$8+1), CD$17*$E$13,IF(CD$16&lt;='Model_Assumptions'!$C$8,CD$17*$C$13,IF(CD$16&gt;=('Model_Assumptions'!$C$8 + 1), CD$17*$D$13, ""))))</f>
        <v/>
      </c>
      <c r="CE23" s="25">
        <f>IF(CE$16="","",IF(CE$16=('Model_Assumptions'!$B$8+1), CE$17*$E$13,IF(CE$16&lt;='Model_Assumptions'!$C$8,CE$17*$C$13,IF(CE$16&gt;=('Model_Assumptions'!$C$8 + 1), CE$17*$D$13, ""))))</f>
        <v/>
      </c>
      <c r="CF23" s="25">
        <f>IF(CF$16="","",IF(CF$16=('Model_Assumptions'!$B$8+1), CF$17*$E$13,IF(CF$16&lt;='Model_Assumptions'!$C$8,CF$17*$C$13,IF(CF$16&gt;=('Model_Assumptions'!$C$8 + 1), CF$17*$D$13, ""))))</f>
        <v/>
      </c>
      <c r="CG23" s="25">
        <f>IF(CG$16="","",IF(CG$16=('Model_Assumptions'!$B$8+1), CG$17*$E$13,IF(CG$16&lt;='Model_Assumptions'!$C$8,CG$17*$C$13,IF(CG$16&gt;=('Model_Assumptions'!$C$8 + 1), CG$17*$D$13, ""))))</f>
        <v/>
      </c>
      <c r="CH23" s="25">
        <f>IF(CH$16="","",IF(CH$16=('Model_Assumptions'!$B$8+1), CH$17*$E$13,IF(CH$16&lt;='Model_Assumptions'!$C$8,CH$17*$C$13,IF(CH$16&gt;=('Model_Assumptions'!$C$8 + 1), CH$17*$D$13, ""))))</f>
        <v/>
      </c>
      <c r="CI23" s="25">
        <f>IF(CI$16="","",IF(CI$16=('Model_Assumptions'!$B$8+1), CI$17*$E$13,IF(CI$16&lt;='Model_Assumptions'!$C$8,CI$17*$C$13,IF(CI$16&gt;=('Model_Assumptions'!$C$8 + 1), CI$17*$D$13, ""))))</f>
        <v/>
      </c>
      <c r="CJ23" s="25">
        <f>IF(CJ$16="","",IF(CJ$16=('Model_Assumptions'!$B$8+1), CJ$17*$E$13,IF(CJ$16&lt;='Model_Assumptions'!$C$8,CJ$17*$C$13,IF(CJ$16&gt;=('Model_Assumptions'!$C$8 + 1), CJ$17*$D$13, ""))))</f>
        <v/>
      </c>
      <c r="CK23" s="25">
        <f>IF(CK$16="","",IF(CK$16=('Model_Assumptions'!$B$8+1), CK$17*$E$13,IF(CK$16&lt;='Model_Assumptions'!$C$8,CK$17*$C$13,IF(CK$16&gt;=('Model_Assumptions'!$C$8 + 1), CK$17*$D$13, ""))))</f>
        <v/>
      </c>
      <c r="CL23" s="25">
        <f>IF(CL$16="","",IF(CL$16=('Model_Assumptions'!$B$8+1), CL$17*$E$13,IF(CL$16&lt;='Model_Assumptions'!$C$8,CL$17*$C$13,IF(CL$16&gt;=('Model_Assumptions'!$C$8 + 1), CL$17*$D$13, ""))))</f>
        <v/>
      </c>
      <c r="CM23" s="26">
        <f>IF(CM$16="","",IF(CM$16=('Model_Assumptions'!$B$8+1), CM$17*$E$13,IF(CM$16&lt;='Model_Assumptions'!$C$8,CM$17*$C$13,IF(CM$16&gt;=('Model_Assumptions'!$C$8 + 1), CM$17*$D$13, ""))))</f>
        <v/>
      </c>
    </row>
    <row r="24">
      <c r="B24" s="27" t="inlineStr"/>
      <c r="C24" t="inlineStr"/>
      <c r="D24" t="inlineStr"/>
      <c r="E24" t="inlineStr"/>
      <c r="F24" t="inlineStr"/>
      <c r="G24" t="inlineStr"/>
      <c r="H24" t="inlineStr"/>
      <c r="I24" t="inlineStr"/>
      <c r="J24" t="inlineStr"/>
      <c r="K24" t="inlineStr"/>
      <c r="L24" t="inlineStr"/>
      <c r="M24" t="inlineStr"/>
      <c r="N24" t="inlineStr"/>
      <c r="O24" t="inlineStr"/>
      <c r="P24" t="inlineStr"/>
      <c r="Q24" t="inlineStr"/>
      <c r="R24" t="inlineStr"/>
      <c r="S24" t="inlineStr"/>
      <c r="T24" t="inlineStr"/>
      <c r="U24" t="inlineStr"/>
      <c r="V24" t="inlineStr"/>
      <c r="W24" t="inlineStr"/>
      <c r="X24" t="inlineStr"/>
      <c r="Y24" t="inlineStr"/>
      <c r="Z24" t="inlineStr"/>
      <c r="AA24" t="inlineStr"/>
      <c r="AB24" t="inlineStr"/>
      <c r="AC24" t="inlineStr"/>
      <c r="AD24" t="inlineStr"/>
      <c r="AE24" t="inlineStr"/>
      <c r="AF24" t="inlineStr"/>
      <c r="AG24" t="inlineStr"/>
      <c r="AH24" t="inlineStr"/>
      <c r="AI24" t="inlineStr"/>
      <c r="AJ24" t="inlineStr"/>
      <c r="AK24" t="inlineStr"/>
      <c r="AL24" t="inlineStr"/>
      <c r="AM24" t="inlineStr"/>
      <c r="AN24" t="inlineStr"/>
      <c r="AO24" t="inlineStr"/>
      <c r="AP24" t="inlineStr"/>
      <c r="AQ24" t="inlineStr"/>
      <c r="AR24" t="inlineStr"/>
      <c r="AS24" t="inlineStr"/>
      <c r="AT24" t="inlineStr"/>
      <c r="AU24" t="inlineStr"/>
      <c r="AV24" t="inlineStr"/>
      <c r="AW24" t="inlineStr"/>
      <c r="AX24" t="inlineStr"/>
      <c r="AY24" t="inlineStr"/>
      <c r="AZ24" t="inlineStr"/>
      <c r="BA24" t="inlineStr"/>
      <c r="BB24" t="inlineStr"/>
      <c r="BC24" t="inlineStr"/>
      <c r="BD24" t="inlineStr"/>
      <c r="BE24" t="inlineStr"/>
      <c r="BF24" t="inlineStr"/>
      <c r="BG24" t="inlineStr"/>
      <c r="BH24" t="inlineStr"/>
      <c r="BI24" t="inlineStr"/>
      <c r="BJ24" t="inlineStr"/>
      <c r="BK24" t="inlineStr"/>
      <c r="BL24" t="inlineStr"/>
      <c r="BM24" t="inlineStr"/>
      <c r="BN24" t="inlineStr"/>
      <c r="BO24" t="inlineStr"/>
      <c r="BP24" t="inlineStr"/>
      <c r="BQ24" t="inlineStr"/>
      <c r="BR24" t="inlineStr"/>
      <c r="BS24" t="inlineStr"/>
      <c r="BT24" t="inlineStr"/>
      <c r="BU24" t="inlineStr"/>
      <c r="BV24" t="inlineStr"/>
      <c r="BW24" t="inlineStr"/>
      <c r="BX24" t="inlineStr"/>
      <c r="BY24" t="inlineStr"/>
      <c r="BZ24" t="inlineStr"/>
      <c r="CA24" t="inlineStr"/>
      <c r="CB24" t="inlineStr"/>
      <c r="CC24" t="inlineStr"/>
      <c r="CD24" t="inlineStr"/>
      <c r="CE24" t="inlineStr"/>
      <c r="CF24" t="inlineStr"/>
      <c r="CG24" t="inlineStr"/>
      <c r="CH24" t="inlineStr"/>
      <c r="CI24" t="inlineStr"/>
      <c r="CJ24" t="inlineStr"/>
      <c r="CK24" t="inlineStr"/>
      <c r="CL24" t="inlineStr"/>
      <c r="CM24" t="inlineStr"/>
    </row>
    <row r="25">
      <c r="B25" s="15" t="inlineStr">
        <is>
          <t>Free Cash Flow (FCF)</t>
        </is>
      </c>
      <c r="C25" s="28" t="inlineStr"/>
      <c r="D25" s="29">
        <f>IF(D16="", "", D19+D21-D22-D23)</f>
        <v/>
      </c>
      <c r="E25" s="29">
        <f>IF(E16="", "", E19+E21-E22-E23)</f>
        <v/>
      </c>
      <c r="F25" s="29">
        <f>IF(F16="", "", F19+F21-F22-F23)</f>
        <v/>
      </c>
      <c r="G25" s="29">
        <f>IF(G16="", "", G19+G21-G22-G23)</f>
        <v/>
      </c>
      <c r="H25" s="29">
        <f>IF(H16="", "", H19+H21-H22-H23)</f>
        <v/>
      </c>
      <c r="I25" s="29">
        <f>IF(I16="", "", I19+I21-I22-I23)</f>
        <v/>
      </c>
      <c r="J25" s="29">
        <f>IF(J16="", "", J19+J21-J22-J23)</f>
        <v/>
      </c>
      <c r="K25" s="29">
        <f>IF(K16="", "", K19+K21-K22-K23)</f>
        <v/>
      </c>
      <c r="L25" s="29">
        <f>IF(L16="", "", L19+L21-L22-L23)</f>
        <v/>
      </c>
      <c r="M25" s="29">
        <f>IF(M16="", "", M19+M21-M22-M23)</f>
        <v/>
      </c>
      <c r="N25" s="29">
        <f>IF(N16="", "", N19+N21-N22-N23)</f>
        <v/>
      </c>
      <c r="O25" s="29">
        <f>IF(O16="", "", O19+O21-O22-O23)</f>
        <v/>
      </c>
      <c r="P25" s="29">
        <f>IF(P16="", "", P19+P21-P22-P23)</f>
        <v/>
      </c>
      <c r="Q25" s="29">
        <f>IF(Q16="", "", Q19+Q21-Q22-Q23)</f>
        <v/>
      </c>
      <c r="R25" s="29">
        <f>IF(R16="", "", R19+R21-R22-R23)</f>
        <v/>
      </c>
      <c r="S25" s="29">
        <f>IF(S16="", "", S19+S21-S22-S23)</f>
        <v/>
      </c>
      <c r="T25" s="29">
        <f>IF(T16="", "", T19+T21-T22-T23)</f>
        <v/>
      </c>
      <c r="U25" s="29">
        <f>IF(U16="", "", U19+U21-U22-U23)</f>
        <v/>
      </c>
      <c r="V25" s="29">
        <f>IF(V16="", "", V19+V21-V22-V23)</f>
        <v/>
      </c>
      <c r="W25" s="29">
        <f>IF(W16="", "", W19+W21-W22-W23)</f>
        <v/>
      </c>
      <c r="X25" s="29">
        <f>IF(X16="", "", X19+X21-X22-X23)</f>
        <v/>
      </c>
      <c r="Y25" s="29">
        <f>IF(Y16="", "", Y19+Y21-Y22-Y23)</f>
        <v/>
      </c>
      <c r="Z25" s="29">
        <f>IF(Z16="", "", Z19+Z21-Z22-Z23)</f>
        <v/>
      </c>
      <c r="AA25" s="29">
        <f>IF(AA16="", "", AA19+AA21-AA22-AA23)</f>
        <v/>
      </c>
      <c r="AB25" s="29">
        <f>IF(AB16="", "", AB19+AB21-AB22-AB23)</f>
        <v/>
      </c>
      <c r="AC25" s="29">
        <f>IF(AC16="", "", AC19+AC21-AC22-AC23)</f>
        <v/>
      </c>
      <c r="AD25" s="29">
        <f>IF(AD16="", "", AD19+AD21-AD22-AD23)</f>
        <v/>
      </c>
      <c r="AE25" s="29">
        <f>IF(AE16="", "", AE19+AE21-AE22-AE23)</f>
        <v/>
      </c>
      <c r="AF25" s="29">
        <f>IF(AF16="", "", AF19+AF21-AF22-AF23)</f>
        <v/>
      </c>
      <c r="AG25" s="29">
        <f>IF(AG16="", "", AG19+AG21-AG22-AG23)</f>
        <v/>
      </c>
      <c r="AH25" s="29">
        <f>IF(AH16="", "", AH19+AH21-AH22-AH23)</f>
        <v/>
      </c>
      <c r="AI25" s="29">
        <f>IF(AI16="", "", AI19+AI21-AI22-AI23)</f>
        <v/>
      </c>
      <c r="AJ25" s="29">
        <f>IF(AJ16="", "", AJ19+AJ21-AJ22-AJ23)</f>
        <v/>
      </c>
      <c r="AK25" s="29">
        <f>IF(AK16="", "", AK19+AK21-AK22-AK23)</f>
        <v/>
      </c>
      <c r="AL25" s="29">
        <f>IF(AL16="", "", AL19+AL21-AL22-AL23)</f>
        <v/>
      </c>
      <c r="AM25" s="29">
        <f>IF(AM16="", "", AM19+AM21-AM22-AM23)</f>
        <v/>
      </c>
      <c r="AN25" s="29">
        <f>IF(AN16="", "", AN19+AN21-AN22-AN23)</f>
        <v/>
      </c>
      <c r="AO25" s="29">
        <f>IF(AO16="", "", AO19+AO21-AO22-AO23)</f>
        <v/>
      </c>
      <c r="AP25" s="29">
        <f>IF(AP16="", "", AP19+AP21-AP22-AP23)</f>
        <v/>
      </c>
      <c r="AQ25" s="29">
        <f>IF(AQ16="", "", AQ19+AQ21-AQ22-AQ23)</f>
        <v/>
      </c>
      <c r="AR25" s="29">
        <f>IF(AR16="", "", AR19+AR21-AR22-AR23)</f>
        <v/>
      </c>
      <c r="AS25" s="29">
        <f>IF(AS16="", "", AS19+AS21-AS22-AS23)</f>
        <v/>
      </c>
      <c r="AT25" s="29">
        <f>IF(AT16="", "", AT19+AT21-AT22-AT23)</f>
        <v/>
      </c>
      <c r="AU25" s="29">
        <f>IF(AU16="", "", AU19+AU21-AU22-AU23)</f>
        <v/>
      </c>
      <c r="AV25" s="29">
        <f>IF(AV16="", "", AV19+AV21-AV22-AV23)</f>
        <v/>
      </c>
      <c r="AW25" s="29">
        <f>IF(AW16="", "", AW19+AW21-AW22-AW23)</f>
        <v/>
      </c>
      <c r="AX25" s="29">
        <f>IF(AX16="", "", AX19+AX21-AX22-AX23)</f>
        <v/>
      </c>
      <c r="AY25" s="29">
        <f>IF(AY16="", "", AY19+AY21-AY22-AY23)</f>
        <v/>
      </c>
      <c r="AZ25" s="29">
        <f>IF(AZ16="", "", AZ19+AZ21-AZ22-AZ23)</f>
        <v/>
      </c>
      <c r="BA25" s="29">
        <f>IF(BA16="", "", BA19+BA21-BA22-BA23)</f>
        <v/>
      </c>
      <c r="BB25" s="29">
        <f>IF(BB16="", "", BB19+BB21-BB22-BB23)</f>
        <v/>
      </c>
      <c r="BC25" s="29">
        <f>IF(BC16="", "", BC19+BC21-BC22-BC23)</f>
        <v/>
      </c>
      <c r="BD25" s="29">
        <f>IF(BD16="", "", BD19+BD21-BD22-BD23)</f>
        <v/>
      </c>
      <c r="BE25" s="29">
        <f>IF(BE16="", "", BE19+BE21-BE22-BE23)</f>
        <v/>
      </c>
      <c r="BF25" s="29">
        <f>IF(BF16="", "", BF19+BF21-BF22-BF23)</f>
        <v/>
      </c>
      <c r="BG25" s="29">
        <f>IF(BG16="", "", BG19+BG21-BG22-BG23)</f>
        <v/>
      </c>
      <c r="BH25" s="29">
        <f>IF(BH16="", "", BH19+BH21-BH22-BH23)</f>
        <v/>
      </c>
      <c r="BI25" s="29">
        <f>IF(BI16="", "", BI19+BI21-BI22-BI23)</f>
        <v/>
      </c>
      <c r="BJ25" s="29">
        <f>IF(BJ16="", "", BJ19+BJ21-BJ22-BJ23)</f>
        <v/>
      </c>
      <c r="BK25" s="29">
        <f>IF(BK16="", "", BK19+BK21-BK22-BK23)</f>
        <v/>
      </c>
      <c r="BL25" s="29">
        <f>IF(BL16="", "", BL19+BL21-BL22-BL23)</f>
        <v/>
      </c>
      <c r="BM25" s="29">
        <f>IF(BM16="", "", BM19+BM21-BM22-BM23)</f>
        <v/>
      </c>
      <c r="BN25" s="29">
        <f>IF(BN16="", "", BN19+BN21-BN22-BN23)</f>
        <v/>
      </c>
      <c r="BO25" s="29">
        <f>IF(BO16="", "", BO19+BO21-BO22-BO23)</f>
        <v/>
      </c>
      <c r="BP25" s="29">
        <f>IF(BP16="", "", BP19+BP21-BP22-BP23)</f>
        <v/>
      </c>
      <c r="BQ25" s="29">
        <f>IF(BQ16="", "", BQ19+BQ21-BQ22-BQ23)</f>
        <v/>
      </c>
      <c r="BR25" s="29">
        <f>IF(BR16="", "", BR19+BR21-BR22-BR23)</f>
        <v/>
      </c>
      <c r="BS25" s="29">
        <f>IF(BS16="", "", BS19+BS21-BS22-BS23)</f>
        <v/>
      </c>
      <c r="BT25" s="29">
        <f>IF(BT16="", "", BT19+BT21-BT22-BT23)</f>
        <v/>
      </c>
      <c r="BU25" s="29">
        <f>IF(BU16="", "", BU19+BU21-BU22-BU23)</f>
        <v/>
      </c>
      <c r="BV25" s="29">
        <f>IF(BV16="", "", BV19+BV21-BV22-BV23)</f>
        <v/>
      </c>
      <c r="BW25" s="29">
        <f>IF(BW16="", "", BW19+BW21-BW22-BW23)</f>
        <v/>
      </c>
      <c r="BX25" s="29">
        <f>IF(BX16="", "", BX19+BX21-BX22-BX23)</f>
        <v/>
      </c>
      <c r="BY25" s="29">
        <f>IF(BY16="", "", BY19+BY21-BY22-BY23)</f>
        <v/>
      </c>
      <c r="BZ25" s="29">
        <f>IF(BZ16="", "", BZ19+BZ21-BZ22-BZ23)</f>
        <v/>
      </c>
      <c r="CA25" s="29">
        <f>IF(CA16="", "", CA19+CA21-CA22-CA23)</f>
        <v/>
      </c>
      <c r="CB25" s="29">
        <f>IF(CB16="", "", CB19+CB21-CB22-CB23)</f>
        <v/>
      </c>
      <c r="CC25" s="29">
        <f>IF(CC16="", "", CC19+CC21-CC22-CC23)</f>
        <v/>
      </c>
      <c r="CD25" s="29">
        <f>IF(CD16="", "", CD19+CD21-CD22-CD23)</f>
        <v/>
      </c>
      <c r="CE25" s="29">
        <f>IF(CE16="", "", CE19+CE21-CE22-CE23)</f>
        <v/>
      </c>
      <c r="CF25" s="29">
        <f>IF(CF16="", "", CF19+CF21-CF22-CF23)</f>
        <v/>
      </c>
      <c r="CG25" s="29">
        <f>IF(CG16="", "", CG19+CG21-CG22-CG23)</f>
        <v/>
      </c>
      <c r="CH25" s="29">
        <f>IF(CH16="", "", CH19+CH21-CH22-CH23)</f>
        <v/>
      </c>
      <c r="CI25" s="29">
        <f>IF(CI16="", "", CI19+CI21-CI22-CI23)</f>
        <v/>
      </c>
      <c r="CJ25" s="29">
        <f>IF(CJ16="", "", CJ19+CJ21-CJ22-CJ23)</f>
        <v/>
      </c>
      <c r="CK25" s="29">
        <f>IF(CK16="", "", CK19+CK21-CK22-CK23)</f>
        <v/>
      </c>
      <c r="CL25" s="29">
        <f>IF(CL16="", "", CL19+CL21-CL22-CL23)</f>
        <v/>
      </c>
      <c r="CM25" s="30">
        <f>IF(CM16="", "", CM19+CM21-CM22-CM23)</f>
        <v/>
      </c>
    </row>
    <row r="26">
      <c r="B26" s="23" t="inlineStr">
        <is>
          <t>Present Value of FCF</t>
        </is>
      </c>
      <c r="C26" s="31" t="inlineStr"/>
      <c r="D26" s="32">
        <f>IF(OR(D16="", D$15=$E$7),"",PV($G$43,D$16,0,-D$25))</f>
        <v/>
      </c>
      <c r="E26" s="32">
        <f>IF(OR(E16="", E$15=$E$7),"",PV($G$43,E$16,0,-E$25))</f>
        <v/>
      </c>
      <c r="F26" s="32">
        <f>IF(OR(F16="", F$15=$E$7),"",PV($G$43,F$16,0,-F$25))</f>
        <v/>
      </c>
      <c r="G26" s="32">
        <f>IF(OR(G16="", G$15=$E$7),"",PV($G$43,G$16,0,-G$25))</f>
        <v/>
      </c>
      <c r="H26" s="32">
        <f>IF(OR(H16="", H$15=$E$7),"",PV($G$43,H$16,0,-H$25))</f>
        <v/>
      </c>
      <c r="I26" s="32">
        <f>IF(OR(I16="", I$15=$E$7),"",PV($G$43,I$16,0,-I$25))</f>
        <v/>
      </c>
      <c r="J26" s="32">
        <f>IF(OR(J16="", J$15=$E$7),"",PV($G$43,J$16,0,-J$25))</f>
        <v/>
      </c>
      <c r="K26" s="32">
        <f>IF(OR(K16="", K$15=$E$7),"",PV($G$43,K$16,0,-K$25))</f>
        <v/>
      </c>
      <c r="L26" s="32">
        <f>IF(OR(L16="", L$15=$E$7),"",PV($G$43,L$16,0,-L$25))</f>
        <v/>
      </c>
      <c r="M26" s="32">
        <f>IF(OR(M16="", M$15=$E$7),"",PV($G$43,M$16,0,-M$25))</f>
        <v/>
      </c>
      <c r="N26" s="32">
        <f>IF(OR(N16="", N$15=$E$7),"",PV($G$43,N$16,0,-N$25))</f>
        <v/>
      </c>
      <c r="O26" s="32">
        <f>IF(OR(O16="", O$15=$E$7),"",PV($G$43,O$16,0,-O$25))</f>
        <v/>
      </c>
      <c r="P26" s="32">
        <f>IF(OR(P16="", P$15=$E$7),"",PV($G$43,P$16,0,-P$25))</f>
        <v/>
      </c>
      <c r="Q26" s="32">
        <f>IF(OR(Q16="", Q$15=$E$7),"",PV($G$43,Q$16,0,-Q$25))</f>
        <v/>
      </c>
      <c r="R26" s="32">
        <f>IF(OR(R16="", R$15=$E$7),"",PV($G$43,R$16,0,-R$25))</f>
        <v/>
      </c>
      <c r="S26" s="32">
        <f>IF(OR(S16="", S$15=$E$7),"",PV($G$43,S$16,0,-S$25))</f>
        <v/>
      </c>
      <c r="T26" s="32">
        <f>IF(OR(T16="", T$15=$E$7),"",PV($G$43,T$16,0,-T$25))</f>
        <v/>
      </c>
      <c r="U26" s="32">
        <f>IF(OR(U16="", U$15=$E$7),"",PV($G$43,U$16,0,-U$25))</f>
        <v/>
      </c>
      <c r="V26" s="32">
        <f>IF(OR(V16="", V$15=$E$7),"",PV($G$43,V$16,0,-V$25))</f>
        <v/>
      </c>
      <c r="W26" s="32">
        <f>IF(OR(W16="", W$15=$E$7),"",PV($G$43,W$16,0,-W$25))</f>
        <v/>
      </c>
      <c r="X26" s="32">
        <f>IF(OR(X16="", X$15=$E$7),"",PV($G$43,X$16,0,-X$25))</f>
        <v/>
      </c>
      <c r="Y26" s="32">
        <f>IF(OR(Y16="", Y$15=$E$7),"",PV($G$43,Y$16,0,-Y$25))</f>
        <v/>
      </c>
      <c r="Z26" s="32">
        <f>IF(OR(Z16="", Z$15=$E$7),"",PV($G$43,Z$16,0,-Z$25))</f>
        <v/>
      </c>
      <c r="AA26" s="32">
        <f>IF(OR(AA16="", AA$15=$E$7),"",PV($G$43,AA$16,0,-AA$25))</f>
        <v/>
      </c>
      <c r="AB26" s="32">
        <f>IF(OR(AB16="", AB$15=$E$7),"",PV($G$43,AB$16,0,-AB$25))</f>
        <v/>
      </c>
      <c r="AC26" s="32">
        <f>IF(OR(AC16="", AC$15=$E$7),"",PV($G$43,AC$16,0,-AC$25))</f>
        <v/>
      </c>
      <c r="AD26" s="32">
        <f>IF(OR(AD16="", AD$15=$E$7),"",PV($G$43,AD$16,0,-AD$25))</f>
        <v/>
      </c>
      <c r="AE26" s="32">
        <f>IF(OR(AE16="", AE$15=$E$7),"",PV($G$43,AE$16,0,-AE$25))</f>
        <v/>
      </c>
      <c r="AF26" s="32">
        <f>IF(OR(AF16="", AF$15=$E$7),"",PV($G$43,AF$16,0,-AF$25))</f>
        <v/>
      </c>
      <c r="AG26" s="32">
        <f>IF(OR(AG16="", AG$15=$E$7),"",PV($G$43,AG$16,0,-AG$25))</f>
        <v/>
      </c>
      <c r="AH26" s="32">
        <f>IF(OR(AH16="", AH$15=$E$7),"",PV($G$43,AH$16,0,-AH$25))</f>
        <v/>
      </c>
      <c r="AI26" s="32">
        <f>IF(OR(AI16="", AI$15=$E$7),"",PV($G$43,AI$16,0,-AI$25))</f>
        <v/>
      </c>
      <c r="AJ26" s="32">
        <f>IF(OR(AJ16="", AJ$15=$E$7),"",PV($G$43,AJ$16,0,-AJ$25))</f>
        <v/>
      </c>
      <c r="AK26" s="32">
        <f>IF(OR(AK16="", AK$15=$E$7),"",PV($G$43,AK$16,0,-AK$25))</f>
        <v/>
      </c>
      <c r="AL26" s="32">
        <f>IF(OR(AL16="", AL$15=$E$7),"",PV($G$43,AL$16,0,-AL$25))</f>
        <v/>
      </c>
      <c r="AM26" s="32">
        <f>IF(OR(AM16="", AM$15=$E$7),"",PV($G$43,AM$16,0,-AM$25))</f>
        <v/>
      </c>
      <c r="AN26" s="32">
        <f>IF(OR(AN16="", AN$15=$E$7),"",PV($G$43,AN$16,0,-AN$25))</f>
        <v/>
      </c>
      <c r="AO26" s="32">
        <f>IF(OR(AO16="", AO$15=$E$7),"",PV($G$43,AO$16,0,-AO$25))</f>
        <v/>
      </c>
      <c r="AP26" s="32">
        <f>IF(OR(AP16="", AP$15=$E$7),"",PV($G$43,AP$16,0,-AP$25))</f>
        <v/>
      </c>
      <c r="AQ26" s="32">
        <f>IF(OR(AQ16="", AQ$15=$E$7),"",PV($G$43,AQ$16,0,-AQ$25))</f>
        <v/>
      </c>
      <c r="AR26" s="32">
        <f>IF(OR(AR16="", AR$15=$E$7),"",PV($G$43,AR$16,0,-AR$25))</f>
        <v/>
      </c>
      <c r="AS26" s="32">
        <f>IF(OR(AS16="", AS$15=$E$7),"",PV($G$43,AS$16,0,-AS$25))</f>
        <v/>
      </c>
      <c r="AT26" s="32">
        <f>IF(OR(AT16="", AT$15=$E$7),"",PV($G$43,AT$16,0,-AT$25))</f>
        <v/>
      </c>
      <c r="AU26" s="32">
        <f>IF(OR(AU16="", AU$15=$E$7),"",PV($G$43,AU$16,0,-AU$25))</f>
        <v/>
      </c>
      <c r="AV26" s="32">
        <f>IF(OR(AV16="", AV$15=$E$7),"",PV($G$43,AV$16,0,-AV$25))</f>
        <v/>
      </c>
      <c r="AW26" s="32">
        <f>IF(OR(AW16="", AW$15=$E$7),"",PV($G$43,AW$16,0,-AW$25))</f>
        <v/>
      </c>
      <c r="AX26" s="32">
        <f>IF(OR(AX16="", AX$15=$E$7),"",PV($G$43,AX$16,0,-AX$25))</f>
        <v/>
      </c>
      <c r="AY26" s="32">
        <f>IF(OR(AY16="", AY$15=$E$7),"",PV($G$43,AY$16,0,-AY$25))</f>
        <v/>
      </c>
      <c r="AZ26" s="32">
        <f>IF(OR(AZ16="", AZ$15=$E$7),"",PV($G$43,AZ$16,0,-AZ$25))</f>
        <v/>
      </c>
      <c r="BA26" s="32">
        <f>IF(OR(BA16="", BA$15=$E$7),"",PV($G$43,BA$16,0,-BA$25))</f>
        <v/>
      </c>
      <c r="BB26" s="32">
        <f>IF(OR(BB16="", BB$15=$E$7),"",PV($G$43,BB$16,0,-BB$25))</f>
        <v/>
      </c>
      <c r="BC26" s="32">
        <f>IF(OR(BC16="", BC$15=$E$7),"",PV($G$43,BC$16,0,-BC$25))</f>
        <v/>
      </c>
      <c r="BD26" s="32">
        <f>IF(OR(BD16="", BD$15=$E$7),"",PV($G$43,BD$16,0,-BD$25))</f>
        <v/>
      </c>
      <c r="BE26" s="32">
        <f>IF(OR(BE16="", BE$15=$E$7),"",PV($G$43,BE$16,0,-BE$25))</f>
        <v/>
      </c>
      <c r="BF26" s="32">
        <f>IF(OR(BF16="", BF$15=$E$7),"",PV($G$43,BF$16,0,-BF$25))</f>
        <v/>
      </c>
      <c r="BG26" s="32">
        <f>IF(OR(BG16="", BG$15=$E$7),"",PV($G$43,BG$16,0,-BG$25))</f>
        <v/>
      </c>
      <c r="BH26" s="32">
        <f>IF(OR(BH16="", BH$15=$E$7),"",PV($G$43,BH$16,0,-BH$25))</f>
        <v/>
      </c>
      <c r="BI26" s="32">
        <f>IF(OR(BI16="", BI$15=$E$7),"",PV($G$43,BI$16,0,-BI$25))</f>
        <v/>
      </c>
      <c r="BJ26" s="32">
        <f>IF(OR(BJ16="", BJ$15=$E$7),"",PV($G$43,BJ$16,0,-BJ$25))</f>
        <v/>
      </c>
      <c r="BK26" s="32">
        <f>IF(OR(BK16="", BK$15=$E$7),"",PV($G$43,BK$16,0,-BK$25))</f>
        <v/>
      </c>
      <c r="BL26" s="32">
        <f>IF(OR(BL16="", BL$15=$E$7),"",PV($G$43,BL$16,0,-BL$25))</f>
        <v/>
      </c>
      <c r="BM26" s="32">
        <f>IF(OR(BM16="", BM$15=$E$7),"",PV($G$43,BM$16,0,-BM$25))</f>
        <v/>
      </c>
      <c r="BN26" s="32">
        <f>IF(OR(BN16="", BN$15=$E$7),"",PV($G$43,BN$16,0,-BN$25))</f>
        <v/>
      </c>
      <c r="BO26" s="32">
        <f>IF(OR(BO16="", BO$15=$E$7),"",PV($G$43,BO$16,0,-BO$25))</f>
        <v/>
      </c>
      <c r="BP26" s="32">
        <f>IF(OR(BP16="", BP$15=$E$7),"",PV($G$43,BP$16,0,-BP$25))</f>
        <v/>
      </c>
      <c r="BQ26" s="32">
        <f>IF(OR(BQ16="", BQ$15=$E$7),"",PV($G$43,BQ$16,0,-BQ$25))</f>
        <v/>
      </c>
      <c r="BR26" s="32">
        <f>IF(OR(BR16="", BR$15=$E$7),"",PV($G$43,BR$16,0,-BR$25))</f>
        <v/>
      </c>
      <c r="BS26" s="32">
        <f>IF(OR(BS16="", BS$15=$E$7),"",PV($G$43,BS$16,0,-BS$25))</f>
        <v/>
      </c>
      <c r="BT26" s="32">
        <f>IF(OR(BT16="", BT$15=$E$7),"",PV($G$43,BT$16,0,-BT$25))</f>
        <v/>
      </c>
      <c r="BU26" s="32">
        <f>IF(OR(BU16="", BU$15=$E$7),"",PV($G$43,BU$16,0,-BU$25))</f>
        <v/>
      </c>
      <c r="BV26" s="32">
        <f>IF(OR(BV16="", BV$15=$E$7),"",PV($G$43,BV$16,0,-BV$25))</f>
        <v/>
      </c>
      <c r="BW26" s="32">
        <f>IF(OR(BW16="", BW$15=$E$7),"",PV($G$43,BW$16,0,-BW$25))</f>
        <v/>
      </c>
      <c r="BX26" s="32">
        <f>IF(OR(BX16="", BX$15=$E$7),"",PV($G$43,BX$16,0,-BX$25))</f>
        <v/>
      </c>
      <c r="BY26" s="32">
        <f>IF(OR(BY16="", BY$15=$E$7),"",PV($G$43,BY$16,0,-BY$25))</f>
        <v/>
      </c>
      <c r="BZ26" s="32">
        <f>IF(OR(BZ16="", BZ$15=$E$7),"",PV($G$43,BZ$16,0,-BZ$25))</f>
        <v/>
      </c>
      <c r="CA26" s="32">
        <f>IF(OR(CA16="", CA$15=$E$7),"",PV($G$43,CA$16,0,-CA$25))</f>
        <v/>
      </c>
      <c r="CB26" s="32">
        <f>IF(OR(CB16="", CB$15=$E$7),"",PV($G$43,CB$16,0,-CB$25))</f>
        <v/>
      </c>
      <c r="CC26" s="32">
        <f>IF(OR(CC16="", CC$15=$E$7),"",PV($G$43,CC$16,0,-CC$25))</f>
        <v/>
      </c>
      <c r="CD26" s="32">
        <f>IF(OR(CD16="", CD$15=$E$7),"",PV($G$43,CD$16,0,-CD$25))</f>
        <v/>
      </c>
      <c r="CE26" s="32">
        <f>IF(OR(CE16="", CE$15=$E$7),"",PV($G$43,CE$16,0,-CE$25))</f>
        <v/>
      </c>
      <c r="CF26" s="32">
        <f>IF(OR(CF16="", CF$15=$E$7),"",PV($G$43,CF$16,0,-CF$25))</f>
        <v/>
      </c>
      <c r="CG26" s="32">
        <f>IF(OR(CG16="", CG$15=$E$7),"",PV($G$43,CG$16,0,-CG$25))</f>
        <v/>
      </c>
      <c r="CH26" s="32">
        <f>IF(OR(CH16="", CH$15=$E$7),"",PV($G$43,CH$16,0,-CH$25))</f>
        <v/>
      </c>
      <c r="CI26" s="32">
        <f>IF(OR(CI16="", CI$15=$E$7),"",PV($G$43,CI$16,0,-CI$25))</f>
        <v/>
      </c>
      <c r="CJ26" s="32">
        <f>IF(OR(CJ16="", CJ$15=$E$7),"",PV($G$43,CJ$16,0,-CJ$25))</f>
        <v/>
      </c>
      <c r="CK26" s="32">
        <f>IF(OR(CK16="", CK$15=$E$7),"",PV($G$43,CK$16,0,-CK$25))</f>
        <v/>
      </c>
      <c r="CL26" s="32">
        <f>IF(OR(CL16="", CL$15=$E$7),"",PV($G$43,CL$16,0,-CL$25))</f>
        <v/>
      </c>
      <c r="CM26" s="33">
        <f>IF(OR(CM16="", CM$15=$E$7),"",PV($G$43,CM$16,0,-CM$25))</f>
        <v/>
      </c>
    </row>
    <row r="27">
      <c r="B27" t="inlineStr"/>
      <c r="C27" t="inlineStr"/>
      <c r="D27" t="inlineStr"/>
      <c r="E27" t="inlineStr"/>
      <c r="F27" t="inlineStr"/>
      <c r="G27" t="inlineStr"/>
      <c r="H27" t="inlineStr"/>
      <c r="I27" t="inlineStr"/>
      <c r="J27" t="inlineStr"/>
      <c r="K27" t="inlineStr"/>
      <c r="L27" t="inlineStr"/>
      <c r="M27" t="inlineStr"/>
      <c r="N27" t="inlineStr"/>
      <c r="O27" t="inlineStr"/>
      <c r="P27" t="inlineStr"/>
      <c r="Q27" t="inlineStr"/>
      <c r="R27" t="inlineStr"/>
      <c r="S27" t="inlineStr"/>
      <c r="T27" t="inlineStr"/>
      <c r="U27" t="inlineStr"/>
      <c r="V27" t="inlineStr"/>
      <c r="W27" t="inlineStr"/>
      <c r="X27" t="inlineStr"/>
      <c r="Y27" t="inlineStr"/>
      <c r="Z27" t="inlineStr"/>
      <c r="AA27" t="inlineStr"/>
      <c r="AB27" t="inlineStr"/>
      <c r="AC27" t="inlineStr"/>
      <c r="AD27" t="inlineStr"/>
      <c r="AE27" t="inlineStr"/>
      <c r="AF27" t="inlineStr"/>
      <c r="AG27" t="inlineStr"/>
      <c r="AH27" t="inlineStr"/>
      <c r="AI27" t="inlineStr"/>
      <c r="AJ27" t="inlineStr"/>
      <c r="AK27" t="inlineStr"/>
      <c r="AL27" t="inlineStr"/>
      <c r="AM27" t="inlineStr"/>
      <c r="AN27" t="inlineStr"/>
      <c r="AO27" t="inlineStr"/>
      <c r="AP27" t="inlineStr"/>
      <c r="AQ27" t="inlineStr"/>
      <c r="AR27" t="inlineStr"/>
      <c r="AS27" t="inlineStr"/>
      <c r="AT27" t="inlineStr"/>
      <c r="AU27" t="inlineStr"/>
      <c r="AV27" t="inlineStr"/>
      <c r="AW27" t="inlineStr"/>
      <c r="AX27" t="inlineStr"/>
      <c r="AY27" t="inlineStr"/>
      <c r="AZ27" t="inlineStr"/>
      <c r="BA27" t="inlineStr"/>
      <c r="BB27" t="inlineStr"/>
      <c r="BC27" t="inlineStr"/>
      <c r="BD27" t="inlineStr"/>
      <c r="BE27" t="inlineStr"/>
      <c r="BF27" t="inlineStr"/>
      <c r="BG27" t="inlineStr"/>
      <c r="BH27" t="inlineStr"/>
      <c r="BI27" t="inlineStr"/>
      <c r="BJ27" t="inlineStr"/>
      <c r="BK27" t="inlineStr"/>
      <c r="BL27" t="inlineStr"/>
      <c r="BM27" t="inlineStr"/>
      <c r="BN27" t="inlineStr"/>
      <c r="BO27" t="inlineStr"/>
      <c r="BP27" t="inlineStr"/>
      <c r="BQ27" t="inlineStr"/>
      <c r="BR27" t="inlineStr"/>
      <c r="BS27" t="inlineStr"/>
      <c r="BT27" t="inlineStr"/>
      <c r="BU27" t="inlineStr"/>
      <c r="BV27" t="inlineStr"/>
      <c r="BW27" t="inlineStr"/>
      <c r="BX27" t="inlineStr"/>
      <c r="BY27" t="inlineStr"/>
      <c r="BZ27" t="inlineStr"/>
      <c r="CA27" t="inlineStr"/>
      <c r="CB27" t="inlineStr"/>
      <c r="CC27" t="inlineStr"/>
      <c r="CD27" t="inlineStr"/>
      <c r="CE27" t="inlineStr"/>
      <c r="CF27" t="inlineStr"/>
      <c r="CG27" t="inlineStr"/>
      <c r="CH27" t="inlineStr"/>
      <c r="CI27" t="inlineStr"/>
      <c r="CJ27" t="inlineStr"/>
      <c r="CK27" t="inlineStr"/>
      <c r="CL27" t="inlineStr"/>
      <c r="CM27" t="inlineStr"/>
    </row>
    <row r="28">
      <c r="B28" t="inlineStr">
        <is>
          <t>DCF</t>
        </is>
      </c>
      <c r="C28" t="inlineStr"/>
      <c r="D28" t="inlineStr"/>
      <c r="E28" t="inlineStr"/>
      <c r="F28" t="inlineStr">
        <is>
          <t>WACC</t>
        </is>
      </c>
      <c r="G28" t="inlineStr"/>
      <c r="H28" t="inlineStr"/>
      <c r="I28" t="inlineStr"/>
      <c r="J28" t="inlineStr"/>
      <c r="K28" t="inlineStr"/>
      <c r="L28" t="inlineStr"/>
      <c r="M28" t="inlineStr"/>
      <c r="N28" t="inlineStr"/>
      <c r="O28" t="inlineStr"/>
      <c r="P28" t="inlineStr"/>
      <c r="Q28" t="inlineStr"/>
      <c r="R28" t="inlineStr"/>
      <c r="S28" t="inlineStr"/>
      <c r="T28" t="inlineStr"/>
      <c r="U28" t="inlineStr"/>
      <c r="V28" t="inlineStr"/>
      <c r="W28" t="inlineStr"/>
      <c r="X28" t="inlineStr"/>
      <c r="Y28" t="inlineStr"/>
      <c r="Z28" t="inlineStr"/>
      <c r="AA28" t="inlineStr"/>
      <c r="AB28" t="inlineStr"/>
      <c r="AC28" t="inlineStr"/>
      <c r="AD28" t="inlineStr"/>
      <c r="AE28" t="inlineStr"/>
      <c r="AF28" t="inlineStr"/>
      <c r="AG28" t="inlineStr"/>
      <c r="AH28" t="inlineStr"/>
      <c r="AI28" t="inlineStr"/>
      <c r="AJ28" t="inlineStr"/>
      <c r="AK28" t="inlineStr"/>
      <c r="AL28" t="inlineStr"/>
      <c r="AM28" t="inlineStr"/>
      <c r="AN28" t="inlineStr"/>
      <c r="AO28" t="inlineStr"/>
      <c r="AP28" t="inlineStr"/>
      <c r="AQ28" t="inlineStr"/>
      <c r="AR28" t="inlineStr"/>
      <c r="AS28" t="inlineStr"/>
      <c r="AT28" t="inlineStr"/>
      <c r="AU28" t="inlineStr"/>
      <c r="AV28" t="inlineStr"/>
      <c r="AW28" t="inlineStr"/>
      <c r="AX28" t="inlineStr"/>
      <c r="AY28" t="inlineStr"/>
      <c r="AZ28" t="inlineStr"/>
      <c r="BA28" t="inlineStr"/>
      <c r="BB28" t="inlineStr"/>
      <c r="BC28" t="inlineStr"/>
      <c r="BD28" t="inlineStr"/>
      <c r="BE28" t="inlineStr"/>
      <c r="BF28" t="inlineStr"/>
      <c r="BG28" t="inlineStr"/>
      <c r="BH28" t="inlineStr"/>
      <c r="BI28" t="inlineStr"/>
      <c r="BJ28" t="inlineStr"/>
      <c r="BK28" t="inlineStr"/>
      <c r="BL28" t="inlineStr"/>
      <c r="BM28" t="inlineStr"/>
      <c r="BN28" t="inlineStr"/>
      <c r="BO28" t="inlineStr"/>
      <c r="BP28" t="inlineStr"/>
      <c r="BQ28" t="inlineStr"/>
      <c r="BR28" t="inlineStr"/>
      <c r="BS28" t="inlineStr"/>
      <c r="BT28" t="inlineStr"/>
      <c r="BU28" t="inlineStr"/>
      <c r="BV28" t="inlineStr"/>
      <c r="BW28" t="inlineStr"/>
      <c r="BX28" t="inlineStr"/>
      <c r="BY28" t="inlineStr"/>
      <c r="BZ28" t="inlineStr"/>
      <c r="CA28" t="inlineStr"/>
      <c r="CB28" t="inlineStr"/>
      <c r="CC28" t="inlineStr"/>
      <c r="CD28" t="inlineStr"/>
      <c r="CE28" t="inlineStr"/>
      <c r="CF28" t="inlineStr"/>
      <c r="CG28" t="inlineStr"/>
      <c r="CH28" t="inlineStr"/>
      <c r="CI28" t="inlineStr"/>
      <c r="CJ28" t="inlineStr"/>
      <c r="CK28" t="inlineStr"/>
      <c r="CL28" t="inlineStr"/>
      <c r="CM28" t="inlineStr"/>
    </row>
    <row r="29">
      <c r="B29" s="15" t="inlineStr">
        <is>
          <t>Net Present Value of FCF</t>
        </is>
      </c>
      <c r="C29" s="34">
        <f>SUM(OFFSET(D26,0,0,1,('Model_Assumptions'!B8)))</f>
        <v/>
      </c>
      <c r="D29" t="inlineStr"/>
      <c r="E29" t="inlineStr"/>
      <c r="F29" s="15" t="inlineStr">
        <is>
          <t>Total Debt</t>
        </is>
      </c>
      <c r="G29" s="34" t="n">
        <v>98657000000</v>
      </c>
      <c r="H29" t="inlineStr"/>
      <c r="I29" t="inlineStr"/>
      <c r="J29" t="inlineStr"/>
      <c r="K29" t="inlineStr"/>
      <c r="L29" t="inlineStr"/>
      <c r="M29" t="inlineStr"/>
      <c r="N29" t="inlineStr"/>
      <c r="O29" t="inlineStr"/>
      <c r="P29" t="inlineStr"/>
      <c r="Q29" t="inlineStr"/>
      <c r="R29" t="inlineStr"/>
      <c r="S29" t="inlineStr"/>
      <c r="T29" t="inlineStr"/>
      <c r="U29" t="inlineStr"/>
      <c r="V29" t="inlineStr"/>
      <c r="W29" t="inlineStr"/>
      <c r="X29" t="inlineStr"/>
      <c r="Y29" t="inlineStr"/>
      <c r="Z29" t="inlineStr"/>
      <c r="AA29" t="inlineStr"/>
      <c r="AB29" t="inlineStr"/>
      <c r="AC29" t="inlineStr"/>
      <c r="AD29" t="inlineStr"/>
      <c r="AE29" t="inlineStr"/>
      <c r="AF29" t="inlineStr"/>
      <c r="AG29" t="inlineStr"/>
      <c r="AH29" t="inlineStr"/>
      <c r="AI29" t="inlineStr"/>
      <c r="AJ29" t="inlineStr"/>
      <c r="AK29" t="inlineStr"/>
      <c r="AL29" t="inlineStr"/>
      <c r="AM29" t="inlineStr"/>
      <c r="AN29" t="inlineStr"/>
      <c r="AO29" t="inlineStr"/>
      <c r="AP29" t="inlineStr"/>
      <c r="AQ29" t="inlineStr"/>
      <c r="AR29" t="inlineStr"/>
      <c r="AS29" t="inlineStr"/>
      <c r="AT29" t="inlineStr"/>
      <c r="AU29" t="inlineStr"/>
      <c r="AV29" t="inlineStr"/>
      <c r="AW29" t="inlineStr"/>
      <c r="AX29" t="inlineStr"/>
      <c r="AY29" t="inlineStr"/>
      <c r="AZ29" t="inlineStr"/>
      <c r="BA29" t="inlineStr"/>
      <c r="BB29" t="inlineStr"/>
      <c r="BC29" t="inlineStr"/>
      <c r="BD29" t="inlineStr"/>
      <c r="BE29" t="inlineStr"/>
      <c r="BF29" t="inlineStr"/>
      <c r="BG29" t="inlineStr"/>
      <c r="BH29" t="inlineStr"/>
      <c r="BI29" t="inlineStr"/>
      <c r="BJ29" t="inlineStr"/>
      <c r="BK29" t="inlineStr"/>
      <c r="BL29" t="inlineStr"/>
      <c r="BM29" t="inlineStr"/>
      <c r="BN29" t="inlineStr"/>
      <c r="BO29" t="inlineStr"/>
      <c r="BP29" t="inlineStr"/>
      <c r="BQ29" t="inlineStr"/>
      <c r="BR29" t="inlineStr"/>
      <c r="BS29" t="inlineStr"/>
      <c r="BT29" t="inlineStr"/>
      <c r="BU29" t="inlineStr"/>
      <c r="BV29" t="inlineStr"/>
      <c r="BW29" t="inlineStr"/>
      <c r="BX29" t="inlineStr"/>
      <c r="BY29" t="inlineStr"/>
      <c r="BZ29" t="inlineStr"/>
      <c r="CA29" t="inlineStr"/>
      <c r="CB29" t="inlineStr"/>
      <c r="CC29" t="inlineStr"/>
      <c r="CD29" t="inlineStr"/>
      <c r="CE29" t="inlineStr"/>
      <c r="CF29" t="inlineStr"/>
      <c r="CG29" t="inlineStr"/>
      <c r="CH29" t="inlineStr"/>
      <c r="CI29" t="inlineStr"/>
      <c r="CJ29" t="inlineStr"/>
      <c r="CK29" t="inlineStr"/>
      <c r="CL29" t="inlineStr"/>
      <c r="CM29" t="inlineStr"/>
    </row>
    <row r="30">
      <c r="B30" s="19" t="inlineStr">
        <is>
          <t xml:space="preserve">Terminal Value </t>
        </is>
      </c>
      <c r="C30" s="35">
        <f>INDEX(B15:BI25,11,'Model_Assumptions'!B8+3)/($G$43-'Model_Assumptions'!$E$8)</f>
        <v/>
      </c>
      <c r="D30" t="inlineStr"/>
      <c r="E30" t="inlineStr"/>
      <c r="F30" s="19" t="inlineStr">
        <is>
          <t>Current Share Price</t>
        </is>
      </c>
      <c r="G30" s="36" t="n">
        <v>250.12</v>
      </c>
      <c r="H30" t="inlineStr"/>
      <c r="I30" t="inlineStr"/>
      <c r="J30" t="inlineStr"/>
      <c r="K30" t="inlineStr"/>
      <c r="L30" t="inlineStr"/>
      <c r="M30" t="inlineStr"/>
      <c r="N30" t="inlineStr"/>
      <c r="O30" t="inlineStr"/>
      <c r="P30" t="inlineStr"/>
      <c r="Q30" t="inlineStr"/>
      <c r="R30" t="inlineStr"/>
      <c r="S30" t="inlineStr"/>
      <c r="T30" t="inlineStr"/>
      <c r="U30" t="inlineStr"/>
      <c r="V30" t="inlineStr"/>
      <c r="W30" t="inlineStr"/>
      <c r="X30" t="inlineStr"/>
      <c r="Y30" t="inlineStr"/>
      <c r="Z30" t="inlineStr"/>
      <c r="AA30" t="inlineStr"/>
      <c r="AB30" t="inlineStr"/>
      <c r="AC30" t="inlineStr"/>
      <c r="AD30" t="inlineStr"/>
      <c r="AE30" t="inlineStr"/>
      <c r="AF30" t="inlineStr"/>
      <c r="AG30" t="inlineStr"/>
      <c r="AH30" t="inlineStr"/>
      <c r="AI30" t="inlineStr"/>
      <c r="AJ30" t="inlineStr"/>
      <c r="AK30" t="inlineStr"/>
      <c r="AL30" t="inlineStr"/>
      <c r="AM30" t="inlineStr"/>
      <c r="AN30" t="inlineStr"/>
      <c r="AO30" t="inlineStr"/>
      <c r="AP30" t="inlineStr"/>
      <c r="AQ30" t="inlineStr"/>
      <c r="AR30" t="inlineStr"/>
      <c r="AS30" t="inlineStr"/>
      <c r="AT30" t="inlineStr"/>
      <c r="AU30" t="inlineStr"/>
      <c r="AV30" t="inlineStr"/>
      <c r="AW30" t="inlineStr"/>
      <c r="AX30" t="inlineStr"/>
      <c r="AY30" t="inlineStr"/>
      <c r="AZ30" t="inlineStr"/>
      <c r="BA30" t="inlineStr"/>
      <c r="BB30" t="inlineStr"/>
      <c r="BC30" t="inlineStr"/>
      <c r="BD30" t="inlineStr"/>
      <c r="BE30" t="inlineStr"/>
      <c r="BF30" t="inlineStr"/>
      <c r="BG30" t="inlineStr"/>
      <c r="BH30" t="inlineStr"/>
      <c r="BI30" t="inlineStr"/>
      <c r="BJ30" t="inlineStr"/>
      <c r="BK30" t="inlineStr"/>
      <c r="BL30" t="inlineStr"/>
      <c r="BM30" t="inlineStr"/>
      <c r="BN30" t="inlineStr"/>
      <c r="BO30" t="inlineStr"/>
      <c r="BP30" t="inlineStr"/>
      <c r="BQ30" t="inlineStr"/>
      <c r="BR30" t="inlineStr"/>
      <c r="BS30" t="inlineStr"/>
      <c r="BT30" t="inlineStr"/>
      <c r="BU30" t="inlineStr"/>
      <c r="BV30" t="inlineStr"/>
      <c r="BW30" t="inlineStr"/>
      <c r="BX30" t="inlineStr"/>
      <c r="BY30" t="inlineStr"/>
      <c r="BZ30" t="inlineStr"/>
      <c r="CA30" t="inlineStr"/>
      <c r="CB30" t="inlineStr"/>
      <c r="CC30" t="inlineStr"/>
      <c r="CD30" t="inlineStr"/>
      <c r="CE30" t="inlineStr"/>
      <c r="CF30" t="inlineStr"/>
      <c r="CG30" t="inlineStr"/>
      <c r="CH30" t="inlineStr"/>
      <c r="CI30" t="inlineStr"/>
      <c r="CJ30" t="inlineStr"/>
      <c r="CK30" t="inlineStr"/>
      <c r="CL30" t="inlineStr"/>
      <c r="CM30" t="inlineStr"/>
    </row>
    <row r="31">
      <c r="B31" s="19" t="inlineStr">
        <is>
          <t>Present Value of Terminal Value</t>
        </is>
      </c>
      <c r="C31" s="37">
        <f>PV(H43, 'Model_Assumptions'!$B$8+1, 0, -$C$30)</f>
        <v/>
      </c>
      <c r="D31" t="inlineStr"/>
      <c r="E31" t="inlineStr"/>
      <c r="F31" s="19" t="inlineStr">
        <is>
          <t>Weighted Average Shares Outstanding</t>
        </is>
      </c>
      <c r="G31" s="37" t="n">
        <v>15004697000</v>
      </c>
      <c r="H31" t="inlineStr"/>
      <c r="I31" t="inlineStr"/>
      <c r="J31" t="inlineStr"/>
      <c r="K31" t="inlineStr"/>
      <c r="L31" t="inlineStr"/>
      <c r="M31" t="inlineStr"/>
      <c r="N31" t="inlineStr"/>
      <c r="O31" t="inlineStr"/>
      <c r="P31" t="inlineStr"/>
      <c r="Q31" t="inlineStr"/>
      <c r="R31" t="inlineStr"/>
      <c r="S31" t="inlineStr"/>
      <c r="T31" t="inlineStr"/>
      <c r="U31" t="inlineStr"/>
      <c r="V31" t="inlineStr"/>
      <c r="W31" t="inlineStr"/>
      <c r="X31" t="inlineStr"/>
      <c r="Y31" t="inlineStr"/>
      <c r="Z31" t="inlineStr"/>
      <c r="AA31" t="inlineStr"/>
      <c r="AB31" t="inlineStr"/>
      <c r="AC31" t="inlineStr"/>
      <c r="AD31" t="inlineStr"/>
      <c r="AE31" t="inlineStr"/>
      <c r="AF31" t="inlineStr"/>
      <c r="AG31" t="inlineStr"/>
      <c r="AH31" t="inlineStr"/>
      <c r="AI31" t="inlineStr"/>
      <c r="AJ31" t="inlineStr"/>
      <c r="AK31" t="inlineStr"/>
      <c r="AL31" t="inlineStr"/>
      <c r="AM31" t="inlineStr"/>
      <c r="AN31" t="inlineStr"/>
      <c r="AO31" t="inlineStr"/>
      <c r="AP31" t="inlineStr"/>
      <c r="AQ31" t="inlineStr"/>
      <c r="AR31" t="inlineStr"/>
      <c r="AS31" t="inlineStr"/>
      <c r="AT31" t="inlineStr"/>
      <c r="AU31" t="inlineStr"/>
      <c r="AV31" t="inlineStr"/>
      <c r="AW31" t="inlineStr"/>
      <c r="AX31" t="inlineStr"/>
      <c r="AY31" t="inlineStr"/>
      <c r="AZ31" t="inlineStr"/>
      <c r="BA31" t="inlineStr"/>
      <c r="BB31" t="inlineStr"/>
      <c r="BC31" t="inlineStr"/>
      <c r="BD31" t="inlineStr"/>
      <c r="BE31" t="inlineStr"/>
      <c r="BF31" t="inlineStr"/>
      <c r="BG31" t="inlineStr"/>
      <c r="BH31" t="inlineStr"/>
      <c r="BI31" t="inlineStr"/>
      <c r="BJ31" t="inlineStr"/>
      <c r="BK31" t="inlineStr"/>
      <c r="BL31" t="inlineStr"/>
      <c r="BM31" t="inlineStr"/>
      <c r="BN31" t="inlineStr"/>
      <c r="BO31" t="inlineStr"/>
      <c r="BP31" t="inlineStr"/>
      <c r="BQ31" t="inlineStr"/>
      <c r="BR31" t="inlineStr"/>
      <c r="BS31" t="inlineStr"/>
      <c r="BT31" t="inlineStr"/>
      <c r="BU31" t="inlineStr"/>
      <c r="BV31" t="inlineStr"/>
      <c r="BW31" t="inlineStr"/>
      <c r="BX31" t="inlineStr"/>
      <c r="BY31" t="inlineStr"/>
      <c r="BZ31" t="inlineStr"/>
      <c r="CA31" t="inlineStr"/>
      <c r="CB31" t="inlineStr"/>
      <c r="CC31" t="inlineStr"/>
      <c r="CD31" t="inlineStr"/>
      <c r="CE31" t="inlineStr"/>
      <c r="CF31" t="inlineStr"/>
      <c r="CG31" t="inlineStr"/>
      <c r="CH31" t="inlineStr"/>
      <c r="CI31" t="inlineStr"/>
      <c r="CJ31" t="inlineStr"/>
      <c r="CK31" t="inlineStr"/>
      <c r="CL31" t="inlineStr"/>
      <c r="CM31" t="inlineStr"/>
    </row>
    <row r="32">
      <c r="B32" s="23" t="inlineStr">
        <is>
          <t>Enterprise Value</t>
        </is>
      </c>
      <c r="C32" s="38">
        <f>$C$31 + $C$29</f>
        <v/>
      </c>
      <c r="D32" t="inlineStr"/>
      <c r="E32" t="inlineStr"/>
      <c r="F32" s="19" t="inlineStr">
        <is>
          <t>Market Value of Equity</t>
        </is>
      </c>
      <c r="G32" s="35">
        <f>$G$30*$G$31</f>
        <v/>
      </c>
      <c r="H32" t="inlineStr"/>
      <c r="I32" t="inlineStr"/>
      <c r="J32" t="inlineStr"/>
      <c r="K32" t="inlineStr"/>
      <c r="L32" t="inlineStr"/>
      <c r="M32" t="inlineStr"/>
      <c r="N32" t="inlineStr"/>
      <c r="O32" t="inlineStr"/>
      <c r="P32" t="inlineStr"/>
      <c r="Q32" t="inlineStr"/>
      <c r="R32" t="inlineStr"/>
      <c r="S32" t="inlineStr"/>
      <c r="T32" t="inlineStr"/>
      <c r="U32" t="inlineStr"/>
      <c r="V32" t="inlineStr"/>
      <c r="W32" t="inlineStr"/>
      <c r="X32" t="inlineStr"/>
      <c r="Y32" t="inlineStr"/>
      <c r="Z32" t="inlineStr"/>
      <c r="AA32" t="inlineStr"/>
      <c r="AB32" t="inlineStr"/>
      <c r="AC32" t="inlineStr"/>
      <c r="AD32" t="inlineStr"/>
      <c r="AE32" t="inlineStr"/>
      <c r="AF32" t="inlineStr"/>
      <c r="AG32" t="inlineStr"/>
      <c r="AH32" t="inlineStr"/>
      <c r="AI32" t="inlineStr"/>
      <c r="AJ32" t="inlineStr"/>
      <c r="AK32" t="inlineStr"/>
      <c r="AL32" t="inlineStr"/>
      <c r="AM32" t="inlineStr"/>
      <c r="AN32" t="inlineStr"/>
      <c r="AO32" t="inlineStr"/>
      <c r="AP32" t="inlineStr"/>
      <c r="AQ32" t="inlineStr"/>
      <c r="AR32" t="inlineStr"/>
      <c r="AS32" t="inlineStr"/>
      <c r="AT32" t="inlineStr"/>
      <c r="AU32" t="inlineStr"/>
      <c r="AV32" t="inlineStr"/>
      <c r="AW32" t="inlineStr"/>
      <c r="AX32" t="inlineStr"/>
      <c r="AY32" t="inlineStr"/>
      <c r="AZ32" t="inlineStr"/>
      <c r="BA32" t="inlineStr"/>
      <c r="BB32" t="inlineStr"/>
      <c r="BC32" t="inlineStr"/>
      <c r="BD32" t="inlineStr"/>
      <c r="BE32" t="inlineStr"/>
      <c r="BF32" t="inlineStr"/>
      <c r="BG32" t="inlineStr"/>
      <c r="BH32" t="inlineStr"/>
      <c r="BI32" t="inlineStr"/>
      <c r="BJ32" t="inlineStr"/>
      <c r="BK32" t="inlineStr"/>
      <c r="BL32" t="inlineStr"/>
      <c r="BM32" t="inlineStr"/>
      <c r="BN32" t="inlineStr"/>
      <c r="BO32" t="inlineStr"/>
      <c r="BP32" t="inlineStr"/>
      <c r="BQ32" t="inlineStr"/>
      <c r="BR32" t="inlineStr"/>
      <c r="BS32" t="inlineStr"/>
      <c r="BT32" t="inlineStr"/>
      <c r="BU32" t="inlineStr"/>
      <c r="BV32" t="inlineStr"/>
      <c r="BW32" t="inlineStr"/>
      <c r="BX32" t="inlineStr"/>
      <c r="BY32" t="inlineStr"/>
      <c r="BZ32" t="inlineStr"/>
      <c r="CA32" t="inlineStr"/>
      <c r="CB32" t="inlineStr"/>
      <c r="CC32" t="inlineStr"/>
      <c r="CD32" t="inlineStr"/>
      <c r="CE32" t="inlineStr"/>
      <c r="CF32" t="inlineStr"/>
      <c r="CG32" t="inlineStr"/>
      <c r="CH32" t="inlineStr"/>
      <c r="CI32" t="inlineStr"/>
      <c r="CJ32" t="inlineStr"/>
      <c r="CK32" t="inlineStr"/>
      <c r="CL32" t="inlineStr"/>
      <c r="CM32" t="inlineStr"/>
    </row>
    <row r="33">
      <c r="B33" s="39" t="inlineStr"/>
      <c r="C33" s="40" t="inlineStr"/>
      <c r="D33" t="inlineStr"/>
      <c r="E33" t="inlineStr"/>
      <c r="F33" s="19" t="inlineStr">
        <is>
          <t>Weight of Equity</t>
        </is>
      </c>
      <c r="G33" s="41">
        <f>$G$32/($G$29+$G$32)</f>
        <v/>
      </c>
      <c r="H33" t="inlineStr"/>
      <c r="I33" t="inlineStr"/>
      <c r="J33" t="inlineStr"/>
      <c r="K33" t="inlineStr"/>
      <c r="L33" t="inlineStr"/>
      <c r="M33" t="inlineStr"/>
      <c r="N33" t="inlineStr"/>
      <c r="O33" t="inlineStr"/>
      <c r="P33" t="inlineStr"/>
      <c r="Q33" t="inlineStr"/>
      <c r="R33" t="inlineStr"/>
      <c r="S33" t="inlineStr"/>
      <c r="T33" t="inlineStr"/>
      <c r="U33" t="inlineStr"/>
      <c r="V33" t="inlineStr"/>
      <c r="W33" t="inlineStr"/>
      <c r="X33" t="inlineStr"/>
      <c r="Y33" t="inlineStr"/>
      <c r="Z33" t="inlineStr"/>
      <c r="AA33" t="inlineStr"/>
      <c r="AB33" t="inlineStr"/>
      <c r="AC33" t="inlineStr"/>
      <c r="AD33" t="inlineStr"/>
      <c r="AE33" t="inlineStr"/>
      <c r="AF33" t="inlineStr"/>
      <c r="AG33" t="inlineStr"/>
      <c r="AH33" t="inlineStr"/>
      <c r="AI33" t="inlineStr"/>
      <c r="AJ33" t="inlineStr"/>
      <c r="AK33" t="inlineStr"/>
      <c r="AL33" t="inlineStr"/>
      <c r="AM33" t="inlineStr"/>
      <c r="AN33" t="inlineStr"/>
      <c r="AO33" t="inlineStr"/>
      <c r="AP33" t="inlineStr"/>
      <c r="AQ33" t="inlineStr"/>
      <c r="AR33" t="inlineStr"/>
      <c r="AS33" t="inlineStr"/>
      <c r="AT33" t="inlineStr"/>
      <c r="AU33" t="inlineStr"/>
      <c r="AV33" t="inlineStr"/>
      <c r="AW33" t="inlineStr"/>
      <c r="AX33" t="inlineStr"/>
      <c r="AY33" t="inlineStr"/>
      <c r="AZ33" t="inlineStr"/>
      <c r="BA33" t="inlineStr"/>
      <c r="BB33" t="inlineStr"/>
      <c r="BC33" t="inlineStr"/>
      <c r="BD33" t="inlineStr"/>
      <c r="BE33" t="inlineStr"/>
      <c r="BF33" t="inlineStr"/>
      <c r="BG33" t="inlineStr"/>
      <c r="BH33" t="inlineStr"/>
      <c r="BI33" t="inlineStr"/>
      <c r="BJ33" t="inlineStr"/>
      <c r="BK33" t="inlineStr"/>
      <c r="BL33" t="inlineStr"/>
      <c r="BM33" t="inlineStr"/>
      <c r="BN33" t="inlineStr"/>
      <c r="BO33" t="inlineStr"/>
      <c r="BP33" t="inlineStr"/>
      <c r="BQ33" t="inlineStr"/>
      <c r="BR33" t="inlineStr"/>
      <c r="BS33" t="inlineStr"/>
      <c r="BT33" t="inlineStr"/>
      <c r="BU33" t="inlineStr"/>
      <c r="BV33" t="inlineStr"/>
      <c r="BW33" t="inlineStr"/>
      <c r="BX33" t="inlineStr"/>
      <c r="BY33" t="inlineStr"/>
      <c r="BZ33" t="inlineStr"/>
      <c r="CA33" t="inlineStr"/>
      <c r="CB33" t="inlineStr"/>
      <c r="CC33" t="inlineStr"/>
      <c r="CD33" t="inlineStr"/>
      <c r="CE33" t="inlineStr"/>
      <c r="CF33" t="inlineStr"/>
      <c r="CG33" t="inlineStr"/>
      <c r="CH33" t="inlineStr"/>
      <c r="CI33" t="inlineStr"/>
      <c r="CJ33" t="inlineStr"/>
      <c r="CK33" t="inlineStr"/>
      <c r="CL33" t="inlineStr"/>
      <c r="CM33" t="inlineStr"/>
    </row>
    <row r="34">
      <c r="B34" s="15" t="inlineStr">
        <is>
          <t>+ Excess Cash</t>
        </is>
      </c>
      <c r="C34" s="34" t="n">
        <v>0</v>
      </c>
      <c r="D34" t="inlineStr"/>
      <c r="E34" t="inlineStr"/>
      <c r="F34" s="23" t="inlineStr">
        <is>
          <t>Weight of Debt</t>
        </is>
      </c>
      <c r="G34" s="42">
        <f>$G$29/($G$29+$G$32)</f>
        <v/>
      </c>
      <c r="H34" t="inlineStr"/>
      <c r="I34" t="inlineStr"/>
      <c r="J34" t="inlineStr"/>
      <c r="K34" t="inlineStr"/>
      <c r="L34" t="inlineStr"/>
      <c r="M34" t="inlineStr"/>
      <c r="N34" t="inlineStr"/>
      <c r="O34" t="inlineStr"/>
      <c r="P34" t="inlineStr"/>
      <c r="Q34" t="inlineStr"/>
      <c r="R34" t="inlineStr"/>
      <c r="S34" t="inlineStr"/>
      <c r="T34" t="inlineStr"/>
      <c r="U34" t="inlineStr"/>
      <c r="V34" t="inlineStr"/>
      <c r="W34" t="inlineStr"/>
      <c r="X34" t="inlineStr"/>
      <c r="Y34" t="inlineStr"/>
      <c r="Z34" t="inlineStr"/>
      <c r="AA34" t="inlineStr"/>
      <c r="AB34" t="inlineStr"/>
      <c r="AC34" t="inlineStr"/>
      <c r="AD34" t="inlineStr"/>
      <c r="AE34" t="inlineStr"/>
      <c r="AF34" t="inlineStr"/>
      <c r="AG34" t="inlineStr"/>
      <c r="AH34" t="inlineStr"/>
      <c r="AI34" t="inlineStr"/>
      <c r="AJ34" t="inlineStr"/>
      <c r="AK34" t="inlineStr"/>
      <c r="AL34" t="inlineStr"/>
      <c r="AM34" t="inlineStr"/>
      <c r="AN34" t="inlineStr"/>
      <c r="AO34" t="inlineStr"/>
      <c r="AP34" t="inlineStr"/>
      <c r="AQ34" t="inlineStr"/>
      <c r="AR34" t="inlineStr"/>
      <c r="AS34" t="inlineStr"/>
      <c r="AT34" t="inlineStr"/>
      <c r="AU34" t="inlineStr"/>
      <c r="AV34" t="inlineStr"/>
      <c r="AW34" t="inlineStr"/>
      <c r="AX34" t="inlineStr"/>
      <c r="AY34" t="inlineStr"/>
      <c r="AZ34" t="inlineStr"/>
      <c r="BA34" t="inlineStr"/>
      <c r="BB34" t="inlineStr"/>
      <c r="BC34" t="inlineStr"/>
      <c r="BD34" t="inlineStr"/>
      <c r="BE34" t="inlineStr"/>
      <c r="BF34" t="inlineStr"/>
      <c r="BG34" t="inlineStr"/>
      <c r="BH34" t="inlineStr"/>
      <c r="BI34" t="inlineStr"/>
      <c r="BJ34" t="inlineStr"/>
      <c r="BK34" t="inlineStr"/>
      <c r="BL34" t="inlineStr"/>
      <c r="BM34" t="inlineStr"/>
      <c r="BN34" t="inlineStr"/>
      <c r="BO34" t="inlineStr"/>
      <c r="BP34" t="inlineStr"/>
      <c r="BQ34" t="inlineStr"/>
      <c r="BR34" t="inlineStr"/>
      <c r="BS34" t="inlineStr"/>
      <c r="BT34" t="inlineStr"/>
      <c r="BU34" t="inlineStr"/>
      <c r="BV34" t="inlineStr"/>
      <c r="BW34" t="inlineStr"/>
      <c r="BX34" t="inlineStr"/>
      <c r="BY34" t="inlineStr"/>
      <c r="BZ34" t="inlineStr"/>
      <c r="CA34" t="inlineStr"/>
      <c r="CB34" t="inlineStr"/>
      <c r="CC34" t="inlineStr"/>
      <c r="CD34" t="inlineStr"/>
      <c r="CE34" t="inlineStr"/>
      <c r="CF34" t="inlineStr"/>
      <c r="CG34" t="inlineStr"/>
      <c r="CH34" t="inlineStr"/>
      <c r="CI34" t="inlineStr"/>
      <c r="CJ34" t="inlineStr"/>
      <c r="CK34" t="inlineStr"/>
      <c r="CL34" t="inlineStr"/>
      <c r="CM34" t="inlineStr"/>
    </row>
    <row r="35">
      <c r="B35" s="23" t="inlineStr">
        <is>
          <t>- Total Debt</t>
        </is>
      </c>
      <c r="C35" s="38" t="n">
        <v>98657000000</v>
      </c>
      <c r="D35" t="inlineStr"/>
      <c r="E35" t="inlineStr"/>
      <c r="F35" s="39" t="inlineStr"/>
      <c r="G35" s="40" t="inlineStr"/>
      <c r="H35" t="inlineStr"/>
      <c r="I35" t="inlineStr"/>
      <c r="J35" t="inlineStr"/>
      <c r="K35" t="inlineStr"/>
      <c r="L35" t="inlineStr"/>
      <c r="M35" t="inlineStr"/>
      <c r="N35" t="inlineStr"/>
      <c r="O35" t="inlineStr"/>
      <c r="P35" t="inlineStr"/>
      <c r="Q35" t="inlineStr"/>
      <c r="R35" t="inlineStr"/>
      <c r="S35" t="inlineStr"/>
      <c r="T35" t="inlineStr"/>
      <c r="U35" t="inlineStr"/>
      <c r="V35" t="inlineStr"/>
      <c r="W35" t="inlineStr"/>
      <c r="X35" t="inlineStr"/>
      <c r="Y35" t="inlineStr"/>
      <c r="Z35" t="inlineStr"/>
      <c r="AA35" t="inlineStr"/>
      <c r="AB35" t="inlineStr"/>
      <c r="AC35" t="inlineStr"/>
      <c r="AD35" t="inlineStr"/>
      <c r="AE35" t="inlineStr"/>
      <c r="AF35" t="inlineStr"/>
      <c r="AG35" t="inlineStr"/>
      <c r="AH35" t="inlineStr"/>
      <c r="AI35" t="inlineStr"/>
      <c r="AJ35" t="inlineStr"/>
      <c r="AK35" t="inlineStr"/>
      <c r="AL35" t="inlineStr"/>
      <c r="AM35" t="inlineStr"/>
      <c r="AN35" t="inlineStr"/>
      <c r="AO35" t="inlineStr"/>
      <c r="AP35" t="inlineStr"/>
      <c r="AQ35" t="inlineStr"/>
      <c r="AR35" t="inlineStr"/>
      <c r="AS35" t="inlineStr"/>
      <c r="AT35" t="inlineStr"/>
      <c r="AU35" t="inlineStr"/>
      <c r="AV35" t="inlineStr"/>
      <c r="AW35" t="inlineStr"/>
      <c r="AX35" t="inlineStr"/>
      <c r="AY35" t="inlineStr"/>
      <c r="AZ35" t="inlineStr"/>
      <c r="BA35" t="inlineStr"/>
      <c r="BB35" t="inlineStr"/>
      <c r="BC35" t="inlineStr"/>
      <c r="BD35" t="inlineStr"/>
      <c r="BE35" t="inlineStr"/>
      <c r="BF35" t="inlineStr"/>
      <c r="BG35" t="inlineStr"/>
      <c r="BH35" t="inlineStr"/>
      <c r="BI35" t="inlineStr"/>
      <c r="BJ35" t="inlineStr"/>
      <c r="BK35" t="inlineStr"/>
      <c r="BL35" t="inlineStr"/>
      <c r="BM35" t="inlineStr"/>
      <c r="BN35" t="inlineStr"/>
      <c r="BO35" t="inlineStr"/>
      <c r="BP35" t="inlineStr"/>
      <c r="BQ35" t="inlineStr"/>
      <c r="BR35" t="inlineStr"/>
      <c r="BS35" t="inlineStr"/>
      <c r="BT35" t="inlineStr"/>
      <c r="BU35" t="inlineStr"/>
      <c r="BV35" t="inlineStr"/>
      <c r="BW35" t="inlineStr"/>
      <c r="BX35" t="inlineStr"/>
      <c r="BY35" t="inlineStr"/>
      <c r="BZ35" t="inlineStr"/>
      <c r="CA35" t="inlineStr"/>
      <c r="CB35" t="inlineStr"/>
      <c r="CC35" t="inlineStr"/>
      <c r="CD35" t="inlineStr"/>
      <c r="CE35" t="inlineStr"/>
      <c r="CF35" t="inlineStr"/>
      <c r="CG35" t="inlineStr"/>
      <c r="CH35" t="inlineStr"/>
      <c r="CI35" t="inlineStr"/>
      <c r="CJ35" t="inlineStr"/>
      <c r="CK35" t="inlineStr"/>
      <c r="CL35" t="inlineStr"/>
      <c r="CM35" t="inlineStr"/>
    </row>
    <row r="36">
      <c r="B36" s="39" t="inlineStr"/>
      <c r="C36" s="40" t="inlineStr"/>
      <c r="D36" t="inlineStr"/>
      <c r="E36" t="inlineStr"/>
      <c r="F36" s="15" t="inlineStr">
        <is>
          <t>Beta</t>
        </is>
      </c>
      <c r="G36" s="43" t="n">
        <v>0.01</v>
      </c>
      <c r="H36" t="inlineStr"/>
      <c r="I36" t="inlineStr"/>
      <c r="J36" t="inlineStr"/>
      <c r="K36" t="inlineStr"/>
      <c r="L36" t="inlineStr"/>
      <c r="M36" t="inlineStr"/>
      <c r="N36" t="inlineStr"/>
      <c r="O36" t="inlineStr"/>
      <c r="P36" t="inlineStr"/>
      <c r="Q36" t="inlineStr"/>
      <c r="R36" t="inlineStr"/>
      <c r="S36" t="inlineStr"/>
      <c r="T36" t="inlineStr"/>
      <c r="U36" t="inlineStr"/>
      <c r="V36" t="inlineStr"/>
      <c r="W36" t="inlineStr"/>
      <c r="X36" t="inlineStr"/>
      <c r="Y36" t="inlineStr"/>
      <c r="Z36" t="inlineStr"/>
      <c r="AA36" t="inlineStr"/>
      <c r="AB36" t="inlineStr"/>
      <c r="AC36" t="inlineStr"/>
      <c r="AD36" t="inlineStr"/>
      <c r="AE36" t="inlineStr"/>
      <c r="AF36" t="inlineStr"/>
      <c r="AG36" t="inlineStr"/>
      <c r="AH36" t="inlineStr"/>
      <c r="AI36" t="inlineStr"/>
      <c r="AJ36" t="inlineStr"/>
      <c r="AK36" t="inlineStr"/>
      <c r="AL36" t="inlineStr"/>
      <c r="AM36" t="inlineStr"/>
      <c r="AN36" t="inlineStr"/>
      <c r="AO36" t="inlineStr"/>
      <c r="AP36" t="inlineStr"/>
      <c r="AQ36" t="inlineStr"/>
      <c r="AR36" t="inlineStr"/>
      <c r="AS36" t="inlineStr"/>
      <c r="AT36" t="inlineStr"/>
      <c r="AU36" t="inlineStr"/>
      <c r="AV36" t="inlineStr"/>
      <c r="AW36" t="inlineStr"/>
      <c r="AX36" t="inlineStr"/>
      <c r="AY36" t="inlineStr"/>
      <c r="AZ36" t="inlineStr"/>
      <c r="BA36" t="inlineStr"/>
      <c r="BB36" t="inlineStr"/>
      <c r="BC36" t="inlineStr"/>
      <c r="BD36" t="inlineStr"/>
      <c r="BE36" t="inlineStr"/>
      <c r="BF36" t="inlineStr"/>
      <c r="BG36" t="inlineStr"/>
      <c r="BH36" t="inlineStr"/>
      <c r="BI36" t="inlineStr"/>
      <c r="BJ36" t="inlineStr"/>
      <c r="BK36" t="inlineStr"/>
      <c r="BL36" t="inlineStr"/>
      <c r="BM36" t="inlineStr"/>
      <c r="BN36" t="inlineStr"/>
      <c r="BO36" t="inlineStr"/>
      <c r="BP36" t="inlineStr"/>
      <c r="BQ36" t="inlineStr"/>
      <c r="BR36" t="inlineStr"/>
      <c r="BS36" t="inlineStr"/>
      <c r="BT36" t="inlineStr"/>
      <c r="BU36" t="inlineStr"/>
      <c r="BV36" t="inlineStr"/>
      <c r="BW36" t="inlineStr"/>
      <c r="BX36" t="inlineStr"/>
      <c r="BY36" t="inlineStr"/>
      <c r="BZ36" t="inlineStr"/>
      <c r="CA36" t="inlineStr"/>
      <c r="CB36" t="inlineStr"/>
      <c r="CC36" t="inlineStr"/>
      <c r="CD36" t="inlineStr"/>
      <c r="CE36" t="inlineStr"/>
      <c r="CF36" t="inlineStr"/>
      <c r="CG36" t="inlineStr"/>
      <c r="CH36" t="inlineStr"/>
      <c r="CI36" t="inlineStr"/>
      <c r="CJ36" t="inlineStr"/>
      <c r="CK36" t="inlineStr"/>
      <c r="CL36" t="inlineStr"/>
      <c r="CM36" t="inlineStr"/>
    </row>
    <row r="37">
      <c r="B37" s="15" t="inlineStr">
        <is>
          <t>Present Value of Future Equity</t>
        </is>
      </c>
      <c r="C37" s="34">
        <f>$C$32+$C$34-$C$35</f>
        <v/>
      </c>
      <c r="D37" t="inlineStr"/>
      <c r="E37" t="inlineStr"/>
      <c r="F37" s="19" t="inlineStr">
        <is>
          <t>Risk Free Rate of Return</t>
        </is>
      </c>
      <c r="G37" s="41">
        <f>Model_Assumptions!$G$8</f>
        <v/>
      </c>
      <c r="H37" t="inlineStr"/>
      <c r="I37" t="inlineStr"/>
      <c r="J37" t="inlineStr"/>
      <c r="K37" t="inlineStr"/>
      <c r="L37" t="inlineStr"/>
      <c r="M37" t="inlineStr"/>
      <c r="N37" t="inlineStr"/>
      <c r="O37" t="inlineStr"/>
      <c r="P37" t="inlineStr"/>
      <c r="Q37" t="inlineStr"/>
      <c r="R37" t="inlineStr"/>
      <c r="S37" t="inlineStr"/>
      <c r="T37" t="inlineStr"/>
      <c r="U37" t="inlineStr"/>
      <c r="V37" t="inlineStr"/>
      <c r="W37" t="inlineStr"/>
      <c r="X37" t="inlineStr"/>
      <c r="Y37" t="inlineStr"/>
      <c r="Z37" t="inlineStr"/>
      <c r="AA37" t="inlineStr"/>
      <c r="AB37" t="inlineStr"/>
      <c r="AC37" t="inlineStr"/>
      <c r="AD37" t="inlineStr"/>
      <c r="AE37" t="inlineStr"/>
      <c r="AF37" t="inlineStr"/>
      <c r="AG37" t="inlineStr"/>
      <c r="AH37" t="inlineStr"/>
      <c r="AI37" t="inlineStr"/>
      <c r="AJ37" t="inlineStr"/>
      <c r="AK37" t="inlineStr"/>
      <c r="AL37" t="inlineStr"/>
      <c r="AM37" t="inlineStr"/>
      <c r="AN37" t="inlineStr"/>
      <c r="AO37" t="inlineStr"/>
      <c r="AP37" t="inlineStr"/>
      <c r="AQ37" t="inlineStr"/>
      <c r="AR37" t="inlineStr"/>
      <c r="AS37" t="inlineStr"/>
      <c r="AT37" t="inlineStr"/>
      <c r="AU37" t="inlineStr"/>
      <c r="AV37" t="inlineStr"/>
      <c r="AW37" t="inlineStr"/>
      <c r="AX37" t="inlineStr"/>
      <c r="AY37" t="inlineStr"/>
      <c r="AZ37" t="inlineStr"/>
      <c r="BA37" t="inlineStr"/>
      <c r="BB37" t="inlineStr"/>
      <c r="BC37" t="inlineStr"/>
      <c r="BD37" t="inlineStr"/>
      <c r="BE37" t="inlineStr"/>
      <c r="BF37" t="inlineStr"/>
      <c r="BG37" t="inlineStr"/>
      <c r="BH37" t="inlineStr"/>
      <c r="BI37" t="inlineStr"/>
      <c r="BJ37" t="inlineStr"/>
      <c r="BK37" t="inlineStr"/>
      <c r="BL37" t="inlineStr"/>
      <c r="BM37" t="inlineStr"/>
      <c r="BN37" t="inlineStr"/>
      <c r="BO37" t="inlineStr"/>
      <c r="BP37" t="inlineStr"/>
      <c r="BQ37" t="inlineStr"/>
      <c r="BR37" t="inlineStr"/>
      <c r="BS37" t="inlineStr"/>
      <c r="BT37" t="inlineStr"/>
      <c r="BU37" t="inlineStr"/>
      <c r="BV37" t="inlineStr"/>
      <c r="BW37" t="inlineStr"/>
      <c r="BX37" t="inlineStr"/>
      <c r="BY37" t="inlineStr"/>
      <c r="BZ37" t="inlineStr"/>
      <c r="CA37" t="inlineStr"/>
      <c r="CB37" t="inlineStr"/>
      <c r="CC37" t="inlineStr"/>
      <c r="CD37" t="inlineStr"/>
      <c r="CE37" t="inlineStr"/>
      <c r="CF37" t="inlineStr"/>
      <c r="CG37" t="inlineStr"/>
      <c r="CH37" t="inlineStr"/>
      <c r="CI37" t="inlineStr"/>
      <c r="CJ37" t="inlineStr"/>
      <c r="CK37" t="inlineStr"/>
      <c r="CL37" t="inlineStr"/>
      <c r="CM37" t="inlineStr"/>
    </row>
    <row r="38">
      <c r="B38" s="23" t="inlineStr">
        <is>
          <t>Weighted Average Shares Outstanding</t>
        </is>
      </c>
      <c r="C38" s="44" t="n">
        <v>15004697000</v>
      </c>
      <c r="D38" t="inlineStr"/>
      <c r="E38" t="inlineStr"/>
      <c r="F38" s="19" t="inlineStr">
        <is>
          <t>Expected Market Return</t>
        </is>
      </c>
      <c r="G38" s="41">
        <f>Model_Assumptions!$F$8</f>
        <v/>
      </c>
      <c r="H38" t="inlineStr"/>
      <c r="I38" t="inlineStr"/>
      <c r="J38" t="inlineStr"/>
      <c r="K38" t="inlineStr"/>
      <c r="L38" t="inlineStr"/>
      <c r="M38" t="inlineStr"/>
      <c r="N38" t="inlineStr"/>
      <c r="O38" t="inlineStr"/>
      <c r="P38" t="inlineStr"/>
      <c r="Q38" t="inlineStr"/>
      <c r="R38" t="inlineStr"/>
      <c r="S38" t="inlineStr"/>
      <c r="T38" t="inlineStr"/>
      <c r="U38" t="inlineStr"/>
      <c r="V38" t="inlineStr"/>
      <c r="W38" t="inlineStr"/>
      <c r="X38" t="inlineStr"/>
      <c r="Y38" t="inlineStr"/>
      <c r="Z38" t="inlineStr"/>
      <c r="AA38" t="inlineStr"/>
      <c r="AB38" t="inlineStr"/>
      <c r="AC38" t="inlineStr"/>
      <c r="AD38" t="inlineStr"/>
      <c r="AE38" t="inlineStr"/>
      <c r="AF38" t="inlineStr"/>
      <c r="AG38" t="inlineStr"/>
      <c r="AH38" t="inlineStr"/>
      <c r="AI38" t="inlineStr"/>
      <c r="AJ38" t="inlineStr"/>
      <c r="AK38" t="inlineStr"/>
      <c r="AL38" t="inlineStr"/>
      <c r="AM38" t="inlineStr"/>
      <c r="AN38" t="inlineStr"/>
      <c r="AO38" t="inlineStr"/>
      <c r="AP38" t="inlineStr"/>
      <c r="AQ38" t="inlineStr"/>
      <c r="AR38" t="inlineStr"/>
      <c r="AS38" t="inlineStr"/>
      <c r="AT38" t="inlineStr"/>
      <c r="AU38" t="inlineStr"/>
      <c r="AV38" t="inlineStr"/>
      <c r="AW38" t="inlineStr"/>
      <c r="AX38" t="inlineStr"/>
      <c r="AY38" t="inlineStr"/>
      <c r="AZ38" t="inlineStr"/>
      <c r="BA38" t="inlineStr"/>
      <c r="BB38" t="inlineStr"/>
      <c r="BC38" t="inlineStr"/>
      <c r="BD38" t="inlineStr"/>
      <c r="BE38" t="inlineStr"/>
      <c r="BF38" t="inlineStr"/>
      <c r="BG38" t="inlineStr"/>
      <c r="BH38" t="inlineStr"/>
      <c r="BI38" t="inlineStr"/>
      <c r="BJ38" t="inlineStr"/>
      <c r="BK38" t="inlineStr"/>
      <c r="BL38" t="inlineStr"/>
      <c r="BM38" t="inlineStr"/>
      <c r="BN38" t="inlineStr"/>
      <c r="BO38" t="inlineStr"/>
      <c r="BP38" t="inlineStr"/>
      <c r="BQ38" t="inlineStr"/>
      <c r="BR38" t="inlineStr"/>
      <c r="BS38" t="inlineStr"/>
      <c r="BT38" t="inlineStr"/>
      <c r="BU38" t="inlineStr"/>
      <c r="BV38" t="inlineStr"/>
      <c r="BW38" t="inlineStr"/>
      <c r="BX38" t="inlineStr"/>
      <c r="BY38" t="inlineStr"/>
      <c r="BZ38" t="inlineStr"/>
      <c r="CA38" t="inlineStr"/>
      <c r="CB38" t="inlineStr"/>
      <c r="CC38" t="inlineStr"/>
      <c r="CD38" t="inlineStr"/>
      <c r="CE38" t="inlineStr"/>
      <c r="CF38" t="inlineStr"/>
      <c r="CG38" t="inlineStr"/>
      <c r="CH38" t="inlineStr"/>
      <c r="CI38" t="inlineStr"/>
      <c r="CJ38" t="inlineStr"/>
      <c r="CK38" t="inlineStr"/>
      <c r="CL38" t="inlineStr"/>
      <c r="CM38" t="inlineStr"/>
    </row>
    <row r="39">
      <c r="B39" s="39" t="inlineStr"/>
      <c r="C39" s="40" t="inlineStr"/>
      <c r="D39" t="inlineStr"/>
      <c r="E39" t="inlineStr"/>
      <c r="F39" s="19" t="inlineStr">
        <is>
          <t>Market Risk Premium</t>
        </is>
      </c>
      <c r="G39" s="41">
        <f>$G$38-$G$37</f>
        <v/>
      </c>
      <c r="H39" t="inlineStr"/>
      <c r="I39" t="inlineStr"/>
      <c r="J39" t="inlineStr"/>
      <c r="K39" t="inlineStr"/>
      <c r="L39" t="inlineStr"/>
      <c r="M39" t="inlineStr"/>
      <c r="N39" t="inlineStr"/>
      <c r="O39" t="inlineStr"/>
      <c r="P39" t="inlineStr"/>
      <c r="Q39" t="inlineStr"/>
      <c r="R39" t="inlineStr"/>
      <c r="S39" t="inlineStr"/>
      <c r="T39" t="inlineStr"/>
      <c r="U39" t="inlineStr"/>
      <c r="V39" t="inlineStr"/>
      <c r="W39" t="inlineStr"/>
      <c r="X39" t="inlineStr"/>
      <c r="Y39" t="inlineStr"/>
      <c r="Z39" t="inlineStr"/>
      <c r="AA39" t="inlineStr"/>
      <c r="AB39" t="inlineStr"/>
      <c r="AC39" t="inlineStr"/>
      <c r="AD39" t="inlineStr"/>
      <c r="AE39" t="inlineStr"/>
      <c r="AF39" t="inlineStr"/>
      <c r="AG39" t="inlineStr"/>
      <c r="AH39" t="inlineStr"/>
      <c r="AI39" t="inlineStr"/>
      <c r="AJ39" t="inlineStr"/>
      <c r="AK39" t="inlineStr"/>
      <c r="AL39" t="inlineStr"/>
      <c r="AM39" t="inlineStr"/>
      <c r="AN39" t="inlineStr"/>
      <c r="AO39" t="inlineStr"/>
      <c r="AP39" t="inlineStr"/>
      <c r="AQ39" t="inlineStr"/>
      <c r="AR39" t="inlineStr"/>
      <c r="AS39" t="inlineStr"/>
      <c r="AT39" t="inlineStr"/>
      <c r="AU39" t="inlineStr"/>
      <c r="AV39" t="inlineStr"/>
      <c r="AW39" t="inlineStr"/>
      <c r="AX39" t="inlineStr"/>
      <c r="AY39" t="inlineStr"/>
      <c r="AZ39" t="inlineStr"/>
      <c r="BA39" t="inlineStr"/>
      <c r="BB39" t="inlineStr"/>
      <c r="BC39" t="inlineStr"/>
      <c r="BD39" t="inlineStr"/>
      <c r="BE39" t="inlineStr"/>
      <c r="BF39" t="inlineStr"/>
      <c r="BG39" t="inlineStr"/>
      <c r="BH39" t="inlineStr"/>
      <c r="BI39" t="inlineStr"/>
      <c r="BJ39" t="inlineStr"/>
      <c r="BK39" t="inlineStr"/>
      <c r="BL39" t="inlineStr"/>
      <c r="BM39" t="inlineStr"/>
      <c r="BN39" t="inlineStr"/>
      <c r="BO39" t="inlineStr"/>
      <c r="BP39" t="inlineStr"/>
      <c r="BQ39" t="inlineStr"/>
      <c r="BR39" t="inlineStr"/>
      <c r="BS39" t="inlineStr"/>
      <c r="BT39" t="inlineStr"/>
      <c r="BU39" t="inlineStr"/>
      <c r="BV39" t="inlineStr"/>
      <c r="BW39" t="inlineStr"/>
      <c r="BX39" t="inlineStr"/>
      <c r="BY39" t="inlineStr"/>
      <c r="BZ39" t="inlineStr"/>
      <c r="CA39" t="inlineStr"/>
      <c r="CB39" t="inlineStr"/>
      <c r="CC39" t="inlineStr"/>
      <c r="CD39" t="inlineStr"/>
      <c r="CE39" t="inlineStr"/>
      <c r="CF39" t="inlineStr"/>
      <c r="CG39" t="inlineStr"/>
      <c r="CH39" t="inlineStr"/>
      <c r="CI39" t="inlineStr"/>
      <c r="CJ39" t="inlineStr"/>
      <c r="CK39" t="inlineStr"/>
      <c r="CL39" t="inlineStr"/>
      <c r="CM39" t="inlineStr"/>
    </row>
    <row r="40">
      <c r="B40" s="45" t="inlineStr">
        <is>
          <t>Expected Price Per Share</t>
        </is>
      </c>
      <c r="C40" s="46">
        <f>$C$37/$C$38</f>
        <v/>
      </c>
      <c r="D40" t="inlineStr"/>
      <c r="E40" t="inlineStr"/>
      <c r="F40" s="19" t="inlineStr">
        <is>
          <t>Expected Return of Equity</t>
        </is>
      </c>
      <c r="G40" s="41">
        <f>$G$38+($G$39*$G$36)</f>
        <v/>
      </c>
      <c r="H40" t="inlineStr"/>
      <c r="I40" t="inlineStr"/>
      <c r="J40" t="inlineStr"/>
      <c r="K40" t="inlineStr"/>
      <c r="L40" t="inlineStr"/>
      <c r="M40" t="inlineStr"/>
      <c r="N40" t="inlineStr"/>
      <c r="O40" t="inlineStr"/>
      <c r="P40" t="inlineStr"/>
      <c r="Q40" t="inlineStr"/>
      <c r="R40" t="inlineStr"/>
      <c r="S40" t="inlineStr"/>
      <c r="T40" t="inlineStr"/>
      <c r="U40" t="inlineStr"/>
      <c r="V40" t="inlineStr"/>
      <c r="W40" t="inlineStr"/>
      <c r="X40" t="inlineStr"/>
      <c r="Y40" t="inlineStr"/>
      <c r="Z40" t="inlineStr"/>
      <c r="AA40" t="inlineStr"/>
      <c r="AB40" t="inlineStr"/>
      <c r="AC40" t="inlineStr"/>
      <c r="AD40" t="inlineStr"/>
      <c r="AE40" t="inlineStr"/>
      <c r="AF40" t="inlineStr"/>
      <c r="AG40" t="inlineStr"/>
      <c r="AH40" t="inlineStr"/>
      <c r="AI40" t="inlineStr"/>
      <c r="AJ40" t="inlineStr"/>
      <c r="AK40" t="inlineStr"/>
      <c r="AL40" t="inlineStr"/>
      <c r="AM40" t="inlineStr"/>
      <c r="AN40" t="inlineStr"/>
      <c r="AO40" t="inlineStr"/>
      <c r="AP40" t="inlineStr"/>
      <c r="AQ40" t="inlineStr"/>
      <c r="AR40" t="inlineStr"/>
      <c r="AS40" t="inlineStr"/>
      <c r="AT40" t="inlineStr"/>
      <c r="AU40" t="inlineStr"/>
      <c r="AV40" t="inlineStr"/>
      <c r="AW40" t="inlineStr"/>
      <c r="AX40" t="inlineStr"/>
      <c r="AY40" t="inlineStr"/>
      <c r="AZ40" t="inlineStr"/>
      <c r="BA40" t="inlineStr"/>
      <c r="BB40" t="inlineStr"/>
      <c r="BC40" t="inlineStr"/>
      <c r="BD40" t="inlineStr"/>
      <c r="BE40" t="inlineStr"/>
      <c r="BF40" t="inlineStr"/>
      <c r="BG40" t="inlineStr"/>
      <c r="BH40" t="inlineStr"/>
      <c r="BI40" t="inlineStr"/>
      <c r="BJ40" t="inlineStr"/>
      <c r="BK40" t="inlineStr"/>
      <c r="BL40" t="inlineStr"/>
      <c r="BM40" t="inlineStr"/>
      <c r="BN40" t="inlineStr"/>
      <c r="BO40" t="inlineStr"/>
      <c r="BP40" t="inlineStr"/>
      <c r="BQ40" t="inlineStr"/>
      <c r="BR40" t="inlineStr"/>
      <c r="BS40" t="inlineStr"/>
      <c r="BT40" t="inlineStr"/>
      <c r="BU40" t="inlineStr"/>
      <c r="BV40" t="inlineStr"/>
      <c r="BW40" t="inlineStr"/>
      <c r="BX40" t="inlineStr"/>
      <c r="BY40" t="inlineStr"/>
      <c r="BZ40" t="inlineStr"/>
      <c r="CA40" t="inlineStr"/>
      <c r="CB40" t="inlineStr"/>
      <c r="CC40" t="inlineStr"/>
      <c r="CD40" t="inlineStr"/>
      <c r="CE40" t="inlineStr"/>
      <c r="CF40" t="inlineStr"/>
      <c r="CG40" t="inlineStr"/>
      <c r="CH40" t="inlineStr"/>
      <c r="CI40" t="inlineStr"/>
      <c r="CJ40" t="inlineStr"/>
      <c r="CK40" t="inlineStr"/>
      <c r="CL40" t="inlineStr"/>
      <c r="CM40" t="inlineStr"/>
    </row>
    <row r="41">
      <c r="B41" s="39" t="inlineStr"/>
      <c r="C41" s="40" t="inlineStr"/>
      <c r="D41" t="inlineStr"/>
      <c r="E41" t="inlineStr"/>
      <c r="F41" s="23" t="inlineStr">
        <is>
          <t>Expected Cost of Debt</t>
        </is>
      </c>
      <c r="G41" s="42" t="n">
        <v>0</v>
      </c>
      <c r="H41" t="inlineStr"/>
      <c r="I41" t="inlineStr"/>
      <c r="J41" t="inlineStr"/>
      <c r="K41" t="inlineStr"/>
      <c r="L41" t="inlineStr"/>
      <c r="M41" t="inlineStr"/>
      <c r="N41" t="inlineStr"/>
      <c r="O41" t="inlineStr"/>
      <c r="P41" t="inlineStr"/>
      <c r="Q41" t="inlineStr"/>
      <c r="R41" t="inlineStr"/>
      <c r="S41" t="inlineStr"/>
      <c r="T41" t="inlineStr"/>
      <c r="U41" t="inlineStr"/>
      <c r="V41" t="inlineStr"/>
      <c r="W41" t="inlineStr"/>
      <c r="X41" t="inlineStr"/>
      <c r="Y41" t="inlineStr"/>
      <c r="Z41" t="inlineStr"/>
      <c r="AA41" t="inlineStr"/>
      <c r="AB41" t="inlineStr"/>
      <c r="AC41" t="inlineStr"/>
      <c r="AD41" t="inlineStr"/>
      <c r="AE41" t="inlineStr"/>
      <c r="AF41" t="inlineStr"/>
      <c r="AG41" t="inlineStr"/>
      <c r="AH41" t="inlineStr"/>
      <c r="AI41" t="inlineStr"/>
      <c r="AJ41" t="inlineStr"/>
      <c r="AK41" t="inlineStr"/>
      <c r="AL41" t="inlineStr"/>
      <c r="AM41" t="inlineStr"/>
      <c r="AN41" t="inlineStr"/>
      <c r="AO41" t="inlineStr"/>
      <c r="AP41" t="inlineStr"/>
      <c r="AQ41" t="inlineStr"/>
      <c r="AR41" t="inlineStr"/>
      <c r="AS41" t="inlineStr"/>
      <c r="AT41" t="inlineStr"/>
      <c r="AU41" t="inlineStr"/>
      <c r="AV41" t="inlineStr"/>
      <c r="AW41" t="inlineStr"/>
      <c r="AX41" t="inlineStr"/>
      <c r="AY41" t="inlineStr"/>
      <c r="AZ41" t="inlineStr"/>
      <c r="BA41" t="inlineStr"/>
      <c r="BB41" t="inlineStr"/>
      <c r="BC41" t="inlineStr"/>
      <c r="BD41" t="inlineStr"/>
      <c r="BE41" t="inlineStr"/>
      <c r="BF41" t="inlineStr"/>
      <c r="BG41" t="inlineStr"/>
      <c r="BH41" t="inlineStr"/>
      <c r="BI41" t="inlineStr"/>
      <c r="BJ41" t="inlineStr"/>
      <c r="BK41" t="inlineStr"/>
      <c r="BL41" t="inlineStr"/>
      <c r="BM41" t="inlineStr"/>
      <c r="BN41" t="inlineStr"/>
      <c r="BO41" t="inlineStr"/>
      <c r="BP41" t="inlineStr"/>
      <c r="BQ41" t="inlineStr"/>
      <c r="BR41" t="inlineStr"/>
      <c r="BS41" t="inlineStr"/>
      <c r="BT41" t="inlineStr"/>
      <c r="BU41" t="inlineStr"/>
      <c r="BV41" t="inlineStr"/>
      <c r="BW41" t="inlineStr"/>
      <c r="BX41" t="inlineStr"/>
      <c r="BY41" t="inlineStr"/>
      <c r="BZ41" t="inlineStr"/>
      <c r="CA41" t="inlineStr"/>
      <c r="CB41" t="inlineStr"/>
      <c r="CC41" t="inlineStr"/>
      <c r="CD41" t="inlineStr"/>
      <c r="CE41" t="inlineStr"/>
      <c r="CF41" t="inlineStr"/>
      <c r="CG41" t="inlineStr"/>
      <c r="CH41" t="inlineStr"/>
      <c r="CI41" t="inlineStr"/>
      <c r="CJ41" t="inlineStr"/>
      <c r="CK41" t="inlineStr"/>
      <c r="CL41" t="inlineStr"/>
      <c r="CM41" t="inlineStr"/>
    </row>
    <row r="42">
      <c r="B42" s="45" t="inlineStr">
        <is>
          <t>Under / Over</t>
        </is>
      </c>
      <c r="C42" s="47">
        <f>IF((C40-G30)/G30 &gt; 0.1, "UNDER VALUED",  IF((C40-G30)/G30 &lt; -0.1, "OVER VALUED", "FAIRLY VALUED"))</f>
        <v/>
      </c>
      <c r="D42" t="inlineStr"/>
      <c r="E42" t="inlineStr"/>
      <c r="F42" s="39" t="inlineStr"/>
      <c r="G42" s="40" t="inlineStr"/>
      <c r="H42" t="inlineStr"/>
      <c r="I42" t="inlineStr"/>
      <c r="J42" t="inlineStr"/>
      <c r="K42" t="inlineStr"/>
      <c r="L42" t="inlineStr"/>
      <c r="M42" t="inlineStr"/>
      <c r="N42" t="inlineStr"/>
      <c r="O42" t="inlineStr"/>
      <c r="P42" t="inlineStr"/>
      <c r="Q42" t="inlineStr"/>
      <c r="R42" t="inlineStr"/>
      <c r="S42" t="inlineStr"/>
      <c r="T42" t="inlineStr"/>
      <c r="U42" t="inlineStr"/>
      <c r="V42" t="inlineStr"/>
      <c r="W42" t="inlineStr"/>
      <c r="X42" t="inlineStr"/>
      <c r="Y42" t="inlineStr"/>
      <c r="Z42" t="inlineStr"/>
      <c r="AA42" t="inlineStr"/>
      <c r="AB42" t="inlineStr"/>
      <c r="AC42" t="inlineStr"/>
      <c r="AD42" t="inlineStr"/>
      <c r="AE42" t="inlineStr"/>
      <c r="AF42" t="inlineStr"/>
      <c r="AG42" t="inlineStr"/>
      <c r="AH42" t="inlineStr"/>
      <c r="AI42" t="inlineStr"/>
      <c r="AJ42" t="inlineStr"/>
      <c r="AK42" t="inlineStr"/>
      <c r="AL42" t="inlineStr"/>
      <c r="AM42" t="inlineStr"/>
      <c r="AN42" t="inlineStr"/>
      <c r="AO42" t="inlineStr"/>
      <c r="AP42" t="inlineStr"/>
      <c r="AQ42" t="inlineStr"/>
      <c r="AR42" t="inlineStr"/>
      <c r="AS42" t="inlineStr"/>
      <c r="AT42" t="inlineStr"/>
      <c r="AU42" t="inlineStr"/>
      <c r="AV42" t="inlineStr"/>
      <c r="AW42" t="inlineStr"/>
      <c r="AX42" t="inlineStr"/>
      <c r="AY42" t="inlineStr"/>
      <c r="AZ42" t="inlineStr"/>
      <c r="BA42" t="inlineStr"/>
      <c r="BB42" t="inlineStr"/>
      <c r="BC42" t="inlineStr"/>
      <c r="BD42" t="inlineStr"/>
      <c r="BE42" t="inlineStr"/>
      <c r="BF42" t="inlineStr"/>
      <c r="BG42" t="inlineStr"/>
      <c r="BH42" t="inlineStr"/>
      <c r="BI42" t="inlineStr"/>
      <c r="BJ42" t="inlineStr"/>
      <c r="BK42" t="inlineStr"/>
      <c r="BL42" t="inlineStr"/>
      <c r="BM42" t="inlineStr"/>
      <c r="BN42" t="inlineStr"/>
      <c r="BO42" t="inlineStr"/>
      <c r="BP42" t="inlineStr"/>
      <c r="BQ42" t="inlineStr"/>
      <c r="BR42" t="inlineStr"/>
      <c r="BS42" t="inlineStr"/>
      <c r="BT42" t="inlineStr"/>
      <c r="BU42" t="inlineStr"/>
      <c r="BV42" t="inlineStr"/>
      <c r="BW42" t="inlineStr"/>
      <c r="BX42" t="inlineStr"/>
      <c r="BY42" t="inlineStr"/>
      <c r="BZ42" t="inlineStr"/>
      <c r="CA42" t="inlineStr"/>
      <c r="CB42" t="inlineStr"/>
      <c r="CC42" t="inlineStr"/>
      <c r="CD42" t="inlineStr"/>
      <c r="CE42" t="inlineStr"/>
      <c r="CF42" t="inlineStr"/>
      <c r="CG42" t="inlineStr"/>
      <c r="CH42" t="inlineStr"/>
      <c r="CI42" t="inlineStr"/>
      <c r="CJ42" t="inlineStr"/>
      <c r="CK42" t="inlineStr"/>
      <c r="CL42" t="inlineStr"/>
      <c r="CM42" t="inlineStr"/>
    </row>
    <row r="43">
      <c r="B43" t="inlineStr"/>
      <c r="C43" t="inlineStr"/>
      <c r="D43" t="inlineStr"/>
      <c r="E43" t="inlineStr"/>
      <c r="F43" s="45" t="inlineStr">
        <is>
          <t>WACC</t>
        </is>
      </c>
      <c r="G43" s="48">
        <f>($G$40*$G$33)+($G$41 * $G$34 * (1-$C$9))</f>
        <v/>
      </c>
      <c r="H43" t="inlineStr"/>
      <c r="I43" t="inlineStr"/>
      <c r="J43" t="inlineStr"/>
      <c r="K43" t="inlineStr"/>
      <c r="L43" t="inlineStr"/>
      <c r="M43" t="inlineStr"/>
      <c r="N43" t="inlineStr"/>
      <c r="O43" t="inlineStr"/>
      <c r="P43" t="inlineStr"/>
      <c r="Q43" t="inlineStr"/>
      <c r="R43" t="inlineStr"/>
      <c r="S43" t="inlineStr"/>
      <c r="T43" t="inlineStr"/>
      <c r="U43" t="inlineStr"/>
      <c r="V43" t="inlineStr"/>
      <c r="W43" t="inlineStr"/>
      <c r="X43" t="inlineStr"/>
      <c r="Y43" t="inlineStr"/>
      <c r="Z43" t="inlineStr"/>
      <c r="AA43" t="inlineStr"/>
      <c r="AB43" t="inlineStr"/>
      <c r="AC43" t="inlineStr"/>
      <c r="AD43" t="inlineStr"/>
      <c r="AE43" t="inlineStr"/>
      <c r="AF43" t="inlineStr"/>
      <c r="AG43" t="inlineStr"/>
      <c r="AH43" t="inlineStr"/>
      <c r="AI43" t="inlineStr"/>
      <c r="AJ43" t="inlineStr"/>
      <c r="AK43" t="inlineStr"/>
      <c r="AL43" t="inlineStr"/>
      <c r="AM43" t="inlineStr"/>
      <c r="AN43" t="inlineStr"/>
      <c r="AO43" t="inlineStr"/>
      <c r="AP43" t="inlineStr"/>
      <c r="AQ43" t="inlineStr"/>
      <c r="AR43" t="inlineStr"/>
      <c r="AS43" t="inlineStr"/>
      <c r="AT43" t="inlineStr"/>
      <c r="AU43" t="inlineStr"/>
      <c r="AV43" t="inlineStr"/>
      <c r="AW43" t="inlineStr"/>
      <c r="AX43" t="inlineStr"/>
      <c r="AY43" t="inlineStr"/>
      <c r="AZ43" t="inlineStr"/>
      <c r="BA43" t="inlineStr"/>
      <c r="BB43" t="inlineStr"/>
      <c r="BC43" t="inlineStr"/>
      <c r="BD43" t="inlineStr"/>
      <c r="BE43" t="inlineStr"/>
      <c r="BF43" t="inlineStr"/>
      <c r="BG43" t="inlineStr"/>
      <c r="BH43" t="inlineStr"/>
      <c r="BI43" t="inlineStr"/>
      <c r="BJ43" t="inlineStr"/>
      <c r="BK43" t="inlineStr"/>
      <c r="BL43" t="inlineStr"/>
      <c r="BM43" t="inlineStr"/>
      <c r="BN43" t="inlineStr"/>
      <c r="BO43" t="inlineStr"/>
      <c r="BP43" t="inlineStr"/>
      <c r="BQ43" t="inlineStr"/>
      <c r="BR43" t="inlineStr"/>
      <c r="BS43" t="inlineStr"/>
      <c r="BT43" t="inlineStr"/>
      <c r="BU43" t="inlineStr"/>
      <c r="BV43" t="inlineStr"/>
      <c r="BW43" t="inlineStr"/>
      <c r="BX43" t="inlineStr"/>
      <c r="BY43" t="inlineStr"/>
      <c r="BZ43" t="inlineStr"/>
      <c r="CA43" t="inlineStr"/>
      <c r="CB43" t="inlineStr"/>
      <c r="CC43" t="inlineStr"/>
      <c r="CD43" t="inlineStr"/>
      <c r="CE43" t="inlineStr"/>
      <c r="CF43" t="inlineStr"/>
      <c r="CG43" t="inlineStr"/>
      <c r="CH43" t="inlineStr"/>
      <c r="CI43" t="inlineStr"/>
      <c r="CJ43" t="inlineStr"/>
      <c r="CK43" t="inlineStr"/>
      <c r="CL43" t="inlineStr"/>
      <c r="CM43" t="inlineStr"/>
    </row>
  </sheetData>
  <mergeCells count="1">
    <mergeCell ref="B3:C4"/>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2026-03-14T00:10:07Z</dcterms:created>
  <dcterms:modified xsi:type="dcterms:W3CDTF">2026-03-14T00:10:08Z</dcterms:modified>
</cp:coreProperties>
</file>